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homa\Documents\Github\bugbook\data\"/>
    </mc:Choice>
  </mc:AlternateContent>
  <xr:revisionPtr revIDLastSave="0" documentId="13_ncr:1_{6E243BC6-8680-4AD2-A686-F65B369C2BF0}" xr6:coauthVersionLast="47" xr6:coauthVersionMax="47" xr10:uidLastSave="{00000000-0000-0000-0000-000000000000}"/>
  <bookViews>
    <workbookView xWindow="-110" yWindow="-110" windowWidth="38620" windowHeight="21100" activeTab="1" xr2:uid="{00000000-000D-0000-FFFF-FFFF00000000}"/>
  </bookViews>
  <sheets>
    <sheet name="chapters" sheetId="1" r:id="rId1"/>
    <sheet name="contributions" sheetId="3" r:id="rId2"/>
    <sheet name="unique_authors" sheetId="4" r:id="rId3"/>
  </sheets>
  <definedNames>
    <definedName name="_xlnm._FilterDatabase" localSheetId="0" hidden="1">chapters!$A$1:$J$1</definedName>
    <definedName name="_xlnm._FilterDatabase" localSheetId="1" hidden="1">contributions!$A$1:$J$150</definedName>
    <definedName name="_xlnm._FilterDatabase" localSheetId="2" hidden="1">unique_authors!$A$1:$D$1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a="1"/>
  <c r="C105" i="4" s="1"/>
  <c r="D110" i="4" l="1"/>
  <c r="D109" i="4"/>
  <c r="D108" i="4"/>
  <c r="D107" i="4"/>
  <c r="D106" i="4"/>
  <c r="D105" i="4"/>
  <c r="C110" i="4"/>
  <c r="C109" i="4"/>
  <c r="C108" i="4"/>
  <c r="C107" i="4"/>
  <c r="C106" i="4"/>
  <c r="B2" i="4"/>
  <c r="D2" i="4" s="1"/>
  <c r="D91" i="4"/>
  <c r="C91" i="4"/>
  <c r="D100" i="4"/>
  <c r="C104" i="4"/>
  <c r="D104" i="4"/>
  <c r="D98" i="4"/>
  <c r="C100" i="4"/>
  <c r="C98" i="4"/>
  <c r="C97" i="4"/>
  <c r="D97" i="4"/>
  <c r="C103" i="4"/>
  <c r="D101" i="4"/>
  <c r="D96" i="4"/>
  <c r="C95" i="4"/>
  <c r="D95" i="4"/>
  <c r="D103" i="4"/>
  <c r="D99" i="4"/>
  <c r="C94" i="4"/>
  <c r="D94" i="4"/>
  <c r="D102" i="4"/>
  <c r="C99" i="4"/>
  <c r="C93" i="4"/>
  <c r="D93" i="4"/>
  <c r="C102" i="4"/>
  <c r="C101" i="4"/>
  <c r="C96" i="4"/>
  <c r="C92" i="4"/>
  <c r="D92" i="4"/>
  <c r="C31" i="4"/>
  <c r="C19" i="4"/>
  <c r="C82" i="4"/>
  <c r="C66" i="4"/>
  <c r="C50" i="4"/>
  <c r="C34" i="4"/>
  <c r="C18" i="4"/>
  <c r="C83" i="4"/>
  <c r="C51" i="4"/>
  <c r="C81" i="4"/>
  <c r="C65" i="4"/>
  <c r="C49" i="4"/>
  <c r="C33" i="4"/>
  <c r="C17" i="4"/>
  <c r="C47" i="4"/>
  <c r="C67" i="4"/>
  <c r="C35" i="4"/>
  <c r="C80" i="4"/>
  <c r="C64" i="4"/>
  <c r="C48" i="4"/>
  <c r="C32" i="4"/>
  <c r="C16" i="4"/>
  <c r="C15" i="4"/>
  <c r="C14" i="4"/>
  <c r="C79" i="4"/>
  <c r="C77" i="4"/>
  <c r="C61" i="4"/>
  <c r="C45" i="4"/>
  <c r="C29" i="4"/>
  <c r="C13" i="4"/>
  <c r="C76" i="4"/>
  <c r="C60" i="4"/>
  <c r="C44" i="4"/>
  <c r="C28" i="4"/>
  <c r="C12" i="4"/>
  <c r="C11" i="4"/>
  <c r="C2" i="4"/>
  <c r="C43" i="4"/>
  <c r="C27" i="4"/>
  <c r="C90" i="4"/>
  <c r="C74" i="4"/>
  <c r="C58" i="4"/>
  <c r="C42" i="4"/>
  <c r="C26" i="4"/>
  <c r="C10" i="4"/>
  <c r="C63" i="4"/>
  <c r="C9" i="4"/>
  <c r="C78" i="4"/>
  <c r="C57" i="4"/>
  <c r="C88" i="4"/>
  <c r="C72" i="4"/>
  <c r="C56" i="4"/>
  <c r="C40" i="4"/>
  <c r="C24" i="4"/>
  <c r="C8" i="4"/>
  <c r="C46" i="4"/>
  <c r="C75" i="4"/>
  <c r="C89" i="4"/>
  <c r="C25" i="4"/>
  <c r="C87" i="4"/>
  <c r="C71" i="4"/>
  <c r="C55" i="4"/>
  <c r="C39" i="4"/>
  <c r="C23" i="4"/>
  <c r="C7" i="4"/>
  <c r="C30" i="4"/>
  <c r="C73" i="4"/>
  <c r="C86" i="4"/>
  <c r="C70" i="4"/>
  <c r="C54" i="4"/>
  <c r="C38" i="4"/>
  <c r="C22" i="4"/>
  <c r="C6" i="4"/>
  <c r="C62" i="4"/>
  <c r="C59" i="4"/>
  <c r="C41" i="4"/>
  <c r="C85" i="4"/>
  <c r="C69" i="4"/>
  <c r="C53" i="4"/>
  <c r="C37" i="4"/>
  <c r="C21" i="4"/>
  <c r="C5" i="4"/>
  <c r="C84" i="4"/>
  <c r="C68" i="4"/>
  <c r="C52" i="4"/>
  <c r="C36" i="4"/>
  <c r="C20" i="4"/>
  <c r="C4" i="4"/>
  <c r="C3" i="4"/>
  <c r="D82" i="4"/>
  <c r="D66" i="4"/>
  <c r="D50" i="4"/>
  <c r="D34" i="4"/>
  <c r="D18" i="4"/>
  <c r="D81" i="4"/>
  <c r="D65" i="4"/>
  <c r="D49" i="4"/>
  <c r="D33" i="4"/>
  <c r="D17" i="4"/>
  <c r="D80" i="4"/>
  <c r="D64" i="4"/>
  <c r="D48" i="4"/>
  <c r="D32" i="4"/>
  <c r="D16" i="4"/>
  <c r="D63" i="4"/>
  <c r="D77" i="4"/>
  <c r="D61" i="4"/>
  <c r="D45" i="4"/>
  <c r="D29" i="4"/>
  <c r="D13" i="4"/>
  <c r="D76" i="4"/>
  <c r="D60" i="4"/>
  <c r="D44" i="4"/>
  <c r="D28" i="4"/>
  <c r="D12" i="4"/>
  <c r="D75" i="4"/>
  <c r="D59" i="4"/>
  <c r="D43" i="4"/>
  <c r="D27" i="4"/>
  <c r="D11" i="4"/>
  <c r="D30" i="4"/>
  <c r="D90" i="4"/>
  <c r="D74" i="4"/>
  <c r="D58" i="4"/>
  <c r="D42" i="4"/>
  <c r="D26" i="4"/>
  <c r="D10" i="4"/>
  <c r="D31" i="4"/>
  <c r="D89" i="4"/>
  <c r="D73" i="4"/>
  <c r="D57" i="4"/>
  <c r="D41" i="4"/>
  <c r="D25" i="4"/>
  <c r="D9" i="4"/>
  <c r="D79" i="4"/>
  <c r="D88" i="4"/>
  <c r="D72" i="4"/>
  <c r="D56" i="4"/>
  <c r="D40" i="4"/>
  <c r="D24" i="4"/>
  <c r="D8" i="4"/>
  <c r="D78" i="4"/>
  <c r="D87" i="4"/>
  <c r="D71" i="4"/>
  <c r="D55" i="4"/>
  <c r="D39" i="4"/>
  <c r="D23" i="4"/>
  <c r="D7" i="4"/>
  <c r="D62" i="4"/>
  <c r="D86" i="4"/>
  <c r="D70" i="4"/>
  <c r="D54" i="4"/>
  <c r="D38" i="4"/>
  <c r="D22" i="4"/>
  <c r="D6" i="4"/>
  <c r="D47" i="4"/>
  <c r="D85" i="4"/>
  <c r="D69" i="4"/>
  <c r="D53" i="4"/>
  <c r="D37" i="4"/>
  <c r="D21" i="4"/>
  <c r="D5" i="4"/>
  <c r="D15" i="4"/>
  <c r="D14" i="4"/>
  <c r="D84" i="4"/>
  <c r="D68" i="4"/>
  <c r="D52" i="4"/>
  <c r="D36" i="4"/>
  <c r="D20" i="4"/>
  <c r="D4" i="4"/>
  <c r="D46" i="4"/>
  <c r="D83" i="4"/>
  <c r="D67" i="4"/>
  <c r="D51" i="4"/>
  <c r="D35" i="4"/>
  <c r="D19" i="4"/>
  <c r="D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<sst xmlns="http://schemas.openxmlformats.org/spreadsheetml/2006/main" count="1024" uniqueCount="512">
  <si>
    <t>Chapter</t>
  </si>
  <si>
    <t>Title</t>
  </si>
  <si>
    <t>Coudron et al.</t>
  </si>
  <si>
    <t>Deruytter et al.</t>
  </si>
  <si>
    <t>Cardoso et al.</t>
  </si>
  <si>
    <t>Tomberlin et al.</t>
  </si>
  <si>
    <t>Dearlove et al.</t>
  </si>
  <si>
    <t>Lopes et al.</t>
  </si>
  <si>
    <t>Auger et al.</t>
  </si>
  <si>
    <t>Bruno et al.</t>
  </si>
  <si>
    <t>Oonincx et al.</t>
  </si>
  <si>
    <t>Sandrock et al.</t>
  </si>
  <si>
    <t>Smets et al.</t>
  </si>
  <si>
    <t>Smetana et al.</t>
  </si>
  <si>
    <t>Abstract</t>
  </si>
  <si>
    <t>DOI</t>
  </si>
  <si>
    <t>First_Author</t>
  </si>
  <si>
    <t>Authors</t>
  </si>
  <si>
    <t>S. Smetana, C. Coudron, D. Deruytter, A. Francis, J.J. Pascual, T. Klammsteiner, N. Lemke, C. Sandrock, R. Zanoli</t>
  </si>
  <si>
    <t>I.G. Lopes, M. Gómez-Brandón, N. Praeg, J. Claeys, W. Yakti, M. Bitterlich, J.J. Jones, C.-M. Geilfus, T. Klammsteiner</t>
  </si>
  <si>
    <t>L. Auger, D. Tegtmeier, S. Caccia, T. Klammsteiner, J. De Smet</t>
  </si>
  <si>
    <t>J.K. Tomberlin, T. Klammsteiner, N. Lemke, P. Yadav, C. Sandrock</t>
  </si>
  <si>
    <t>Author</t>
  </si>
  <si>
    <t>Country</t>
  </si>
  <si>
    <t>Switzerland</t>
  </si>
  <si>
    <t>Greece</t>
  </si>
  <si>
    <t>Germany</t>
  </si>
  <si>
    <t>Belgium</t>
  </si>
  <si>
    <t>United States</t>
  </si>
  <si>
    <t>Austria</t>
  </si>
  <si>
    <t>Spain</t>
  </si>
  <si>
    <t>Italy</t>
  </si>
  <si>
    <t>France</t>
  </si>
  <si>
    <t>City</t>
  </si>
  <si>
    <t>Institution</t>
  </si>
  <si>
    <t>Roeselare</t>
  </si>
  <si>
    <t>Innsbruck</t>
  </si>
  <si>
    <t>Universität Innsbruck</t>
  </si>
  <si>
    <t>College Station</t>
  </si>
  <si>
    <t>Texas A&amp;M</t>
  </si>
  <si>
    <t>Wageningen</t>
  </si>
  <si>
    <t>Varese</t>
  </si>
  <si>
    <t>Quakenbrück</t>
  </si>
  <si>
    <t>Humboldt-Universität zu Berlin</t>
  </si>
  <si>
    <t>Berlin</t>
  </si>
  <si>
    <t>University of Patras</t>
  </si>
  <si>
    <t>Messolonghi</t>
  </si>
  <si>
    <t>Valencia</t>
  </si>
  <si>
    <t>Graz</t>
  </si>
  <si>
    <t>University of Tours</t>
  </si>
  <si>
    <t>Tours</t>
  </si>
  <si>
    <t>https://doi.org/10.1163/23524588-bja10209</t>
  </si>
  <si>
    <t>D.G.A.B. Oonincx, M. Gold, G. Bosch, J.B. Guillaume, C.I. Rumbos, S. Naser El Deen, C. Sandrock, S. Bellezza Oddon, C.G. Athanassiou, M. Cambra-López, J.J. Pascual, A.P. Parodi, T. Spranghers, W. Yakti</t>
  </si>
  <si>
    <t>The rapid expansion of insect farming as a sustainable approach for protein production has led to an accumulation of published research on the use of low-value substrates as insect feed. However, compared to conventional livestock, there is a lack of fundamental knowledge about the nutritional physiology and requirements of insects. Such knowledge can lead to the development of optimised feeding substrates that boost insect performance and nutrient composition. In this chapter, the current knowledge on the nutritional requirements of the most relevant insects produced for food and feed is reviewed, and the methods and assays used to investigate the specific requirements are presented. This description of current knowledge on nutritional requirements of edible insects can be used to design suitable rearing diets and as a foundation to further our understanding of insect nutrition.</t>
  </si>
  <si>
    <t>https://doi.org/10.1163/23524588-bja10226</t>
  </si>
  <si>
    <t>Keywords</t>
  </si>
  <si>
    <t>data analysis methods, genetic research, insect production, machine learning, sustainability assessment</t>
  </si>
  <si>
    <t>https://doi.org/10.1163/23524588-bja10225</t>
  </si>
  <si>
    <t>Behavioural research and its applications has a rich history in science with direct applications continuing to expand global understanding of ecosystem function, structure, and evolution. The same can be said for such research as related to the applied sciences including entomology. The purpose of this chapter is to provide context to various approaches for assessing behaviour of insects that are mass produced for food and feed. By using the black soldier fly as a model, various approaches for conducting such research are explored along with providing some perspective on the value of such data for optimising insect production. However, it should be noted that this chapter is not exhaustive with regards to variables that can be examined, or the methods employed.</t>
  </si>
  <si>
    <t>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</si>
  <si>
    <t>choice test, electrophysiology, ethology, experimental design, reproduction</t>
  </si>
  <si>
    <t>Life cycle, reproduction, and morphofunctional characterisation of the gut, fat body, and haemocytes in the black soldier fly</t>
  </si>
  <si>
    <t>https://doi.org/10.1163/23524588-20250002</t>
  </si>
  <si>
    <t>Insects are attracting significant attention due to their effectiveness as bioconversion agents for various organic waste and by-products, as well as for their use as raw material in the food and feed sector. Consequently, their potential in creating novel, circular, and sustainable supply chains has been extensively documented, leading to a rapid increase in research on the biology of these animals. In this scenario, the black soldier fly (BSF) has gained considerable popularity. Despite the extraordinary bioconversion capabilities of BSF larvae, several challenges must be addressed to develop and optimise the bioconversion process of a wide range of organic substrates. This effort is accompanied by the need to standardise research protocols. To this end, in this article we present information on the morphological features of developmental stages of BSF, the isolation of larval organs, and methods for studying digestion, immune response, and the reproductive system.</t>
  </si>
  <si>
    <t>Hermetia illucens, insect morphology, insect physiology, gut in vitro models, insect immunity</t>
  </si>
  <si>
    <t>J.K. Tomberlin</t>
  </si>
  <si>
    <t>D.G.A.B. Oonincx</t>
  </si>
  <si>
    <t>S. Smetana</t>
  </si>
  <si>
    <t>Department of Entomology, Texas A&amp;M University, College Station, TX 77843, USA</t>
  </si>
  <si>
    <t>Department of Ecology, Universität Innsbruck, Technikerstrasse 25, 6020 Innsbruck, Austria</t>
  </si>
  <si>
    <t>Independent Researcher, Waldmuellergasse, 8042 Graz, Austria</t>
  </si>
  <si>
    <t>Department of Biotechnology and Life Sciences, University of Insubria, via J. H. Dunant 3, 21100 Varese, Italy</t>
  </si>
  <si>
    <t>Research Institute for the Biology of Insect, UMR CNRS 7261 University of Tours, avenue Monge, Parc Grandmont, 37200 Tours, France</t>
  </si>
  <si>
    <t>Department of Biosciences, University of Milan, via Celoria 26, 20133 Milano, Italy</t>
  </si>
  <si>
    <t>Institute of Food, Nutrition and Health, ETH Zurich, Schmelzbergstrasse 9, 8092 Zurich, Switzerland</t>
  </si>
  <si>
    <t>Department of Chemistry, Biology and Biotechnology, University of Perugia, via Elce di Sotto 8, 06123 Perugia, Italy</t>
  </si>
  <si>
    <t>Department of Nutrition and Natural Products, Migal – Galilee Research Centre, Tarshish St., 1101202 Kiryat Shmona, Israel</t>
  </si>
  <si>
    <t>Department of Animal Science, Tel-Hai Academic College, Upper Galilee 9977, 1220800 Upper Galilee, Israel</t>
  </si>
  <si>
    <t>Interuniversity Center for Studies on Bioinspired Agro-environmental Technology (BAT Center), University of Napoli Federico II, Piazza Carlo di Borbone 1, 80055 Portici, Italy</t>
  </si>
  <si>
    <t>Wageningen University and Research Centre, Animal Nutrition Group, 6708 WD Wageningen, The Netherlands</t>
  </si>
  <si>
    <t>ETH Zurich, Sustainable Food Processing, 8092 Zurich, Switzerland</t>
  </si>
  <si>
    <t>Agronutris, R&amp;D Department, 31650 Saint-Orens de Gameville, France</t>
  </si>
  <si>
    <t>Wageningen Livestock Research, 6700 AH Wageningen, The Netherlands</t>
  </si>
  <si>
    <t>VIVES University of Applied Sciences, Centre of Expertise for Agro- and Biotechnology, 8800 Roeselare, Belgium</t>
  </si>
  <si>
    <t>Institute of Food Quality and Food Safety, University of Veterinary Medicine Hannover, Foundation, Bischofsholer Damm 15, 30173 Hannover, Germany</t>
  </si>
  <si>
    <t>Escuela Técnica Superior de Ingenierı́a Agronómica y del Medio Natural, Universitat Politècnica de València, Camino de Vera, s/n, 46022 Valencia, Spain</t>
  </si>
  <si>
    <t>Department of Agricultural, Food and Environmental Sciences – D3A, Polytechnic University of Marche, 60131 Ancona, Italy</t>
  </si>
  <si>
    <t>Affiliation_1</t>
  </si>
  <si>
    <t>Affiliation_2</t>
  </si>
  <si>
    <t>The Netherlands</t>
  </si>
  <si>
    <t>Polytechnic University of Marche</t>
  </si>
  <si>
    <t>University of Insubria</t>
  </si>
  <si>
    <t>University of Milan</t>
  </si>
  <si>
    <t>Agronutris</t>
  </si>
  <si>
    <t>Universitat Politècnica de València</t>
  </si>
  <si>
    <t>Zurich</t>
  </si>
  <si>
    <t>Israel</t>
  </si>
  <si>
    <t>Inagro</t>
  </si>
  <si>
    <t>Frick</t>
  </si>
  <si>
    <t>Milano</t>
  </si>
  <si>
    <t>Perugia</t>
  </si>
  <si>
    <t>Ancona</t>
  </si>
  <si>
    <t>-</t>
  </si>
  <si>
    <t>ETH Zurich</t>
  </si>
  <si>
    <t>University of Perugia</t>
  </si>
  <si>
    <t>Saint-Orens de Gameville</t>
  </si>
  <si>
    <t>Tel-Hai Academic College</t>
  </si>
  <si>
    <t>Upper Galilee</t>
  </si>
  <si>
    <t>University of Napoli Federico II</t>
  </si>
  <si>
    <t>Portici</t>
  </si>
  <si>
    <t>Wageningen University</t>
  </si>
  <si>
    <t>University of Turin</t>
  </si>
  <si>
    <t>University of Thessaly</t>
  </si>
  <si>
    <t>VIVES University of Applied Sciences</t>
  </si>
  <si>
    <t>FiBL</t>
  </si>
  <si>
    <t>DIL e.V.</t>
  </si>
  <si>
    <t>Rumbeke-Beitem</t>
  </si>
  <si>
    <t>Nutritional requirements for edible insect rearing</t>
  </si>
  <si>
    <t>Data analysis methods in studies of insects for food and feed</t>
  </si>
  <si>
    <t>Critical considerations for evaluating and applying insect frass in agricultural and waste systems</t>
  </si>
  <si>
    <t>How to explore and exploit the insect-associated microbiome</t>
  </si>
  <si>
    <t xml:space="preserve">Assessing behaviour of insects mass produced as food and feed, using black soldier fly as a model </t>
  </si>
  <si>
    <t>Ecotoxicology, hazard and safety in insects</t>
  </si>
  <si>
    <t>Considerations for designing and performing insect larvae production experiments</t>
  </si>
  <si>
    <t>Common pitfalls and practical recommendations for chemical analysis of insect biomass</t>
  </si>
  <si>
    <t>https://doi.org/10.1163/23524588-bja10238</t>
  </si>
  <si>
    <t>R. Smets, N.A. Sibinga, G. Verheyen, G. Rossi, M. Van Der Borght</t>
  </si>
  <si>
    <t>The rapid growth of the insect industry as a sustainable solution for feed, food, and biomaterials highlights the urgent need for standardised chemical analyses of insect biomass. Currently, the lack of standardised protocols has led to researchers employing diverse methodologies they perceive as most appropriate. This variability introduces the risk of inconsistency when comparing results, like comparing apples with oranges, and hampers progress in the field. Standardised methods of analysis for insect matrices are essential to ensure uniformity, reliability, and comparability of data, fostering trust and efficiency within the scientific and industrial communities. Establishing standard methods is the responsibility of specialized institutions like the Association of Official Agricultural Chemists or the International Organization for Standardization. Thus, rather than prescribing standard methods, the focus of this chapter is on identifying challenges with the current state-of-the-art, emphasizing the need for consensus-based approaches, and helping researchers interpret differences between the various methods reported in the literature.
In the absence of standardised methods much can already be gained through provisional uniformization efforts. This chapter therefore outlines specific recommendations for sampling and key proximate analyses, including fat and fatty acid profiling, protein and amino acid quantification, ash determination, and the assessment of chitin, and nitrogen-free extract. Emphasis is also placed on the importance of accurate reporting, as documentation of methods will enhance data transparency, facilitate reproducibility, and strengthen cross-study comparisons. These efforts aim to streamline future research but also reduce inconsistencies in published data, ensuring the scientific community is no longer bugged by methodological uncertainties.</t>
  </si>
  <si>
    <t>chemical analysis, chitin, insects, moisture, protein</t>
  </si>
  <si>
    <t>https://doi.org/10.1163/23524588-bja10240</t>
  </si>
  <si>
    <t>black soldier fly, breeding, BSF rearing, mealworm</t>
  </si>
  <si>
    <t>The information on the production and reproduction of Tenebrio molitor and Hermetia illucens is essential for researchers pursuing a career in insect farming for food, feed and non-food applications. Rather than requiring researchers to sift through numerous studies to develop effective rearing protocols to maintain a stock population for experimental purposes, the authors summarized insights from peer-reviewed research, while expanding it with their collective experience in rearing these species in both laboratory and pilot-scale settings. A similar approach was applied to both species, beginning with a detailed overview of their life cycle, which is used as a framework for various maintenance procedures. Followed by a description of the environmental conditions in which each species should be held and the minimal infrastructure needed to rear them. Feed recommendations are provided, along with good practices for each stage of the lifecycle, including egg production, instar rearing, and adult handling. The final section addresses potential risks and hazards associated with insect rearing. This includes concerns about the allergenicity of particles produced during rearing, as well as the possibility of contamination, disease outbreaks, or pest infestations. The risks associated with maintaining different insect strains, including cross-contamination and the potential for genetic drift or inbreeding depression, are also discussed.</t>
  </si>
  <si>
    <t>C.L. Coudron, C. Adamaki-Sotiraki, W. Yakti, J.J. Pascual, V. Wiklicky, C. Sandrock, M. Van Peer, C. Athanassiou, D.A. Peguero, C. Rumbos, S. Naser El Deen, T. Veldkamp, D. Deruytter, M. Cambra-López</t>
  </si>
  <si>
    <t>C.L. Coudron</t>
  </si>
  <si>
    <t>Department of Agriculture, Crop Production and Rural Environment, University of Thessaly, 38446 Volos, Greece</t>
  </si>
  <si>
    <t>Volos</t>
  </si>
  <si>
    <t>Institute of Animal Science and Technology, Universitat Politècnica de València, 46022 Valencia, Spain</t>
  </si>
  <si>
    <t>Department of Agriculture, School of Agricultural Sciences, University of Patras, 30200 Messolonghi, Greece</t>
  </si>
  <si>
    <t>Wageningen University and Research Centre, Wageningen, 6700 HB, The Netherlands</t>
  </si>
  <si>
    <t>Department of Energy and Technology, Swedish University of Agricultural Sciences, 75007 Uppsala, Sweden</t>
  </si>
  <si>
    <t>University of Agricultural Sciences</t>
  </si>
  <si>
    <t>Uppsala</t>
  </si>
  <si>
    <t>Sweden</t>
  </si>
  <si>
    <t>Center of Expertise Sustainable Biomass and Chemistry, Thomas More University of Applied Sciences, 2440 Geel, Belgium</t>
  </si>
  <si>
    <t>Thomas More University of Applied Sciences</t>
  </si>
  <si>
    <t>Geel</t>
  </si>
  <si>
    <t>Department Sanitation, Water and Solid Waste for Development (Sandec), Eawag: Swiss Federal Institute of Aquatic Science and Technology, 8600 Dübendorf, Switzerland</t>
  </si>
  <si>
    <t>Eawag: Swiss Federal Institute of Aquatic Science and Technology</t>
  </si>
  <si>
    <t>Dübendorf</t>
  </si>
  <si>
    <t>R. Smets</t>
  </si>
  <si>
    <t>N.A. Sibinga</t>
  </si>
  <si>
    <t>G. Verheyen</t>
  </si>
  <si>
    <t>G. Rossi</t>
  </si>
  <si>
    <t>M. Van Der Borght</t>
  </si>
  <si>
    <t>Department of Microbial and Molecular Systems (MS), KU Leuven Campus Geel, 2440 Geel, Belgium</t>
  </si>
  <si>
    <t>KU Leuven</t>
  </si>
  <si>
    <t>Leibnitz Institute for Agricultural Engineering and Bioeconomy (ATB)</t>
  </si>
  <si>
    <t>Potsdam</t>
  </si>
  <si>
    <t>L. Auger</t>
  </si>
  <si>
    <t>D. Tegtmeier</t>
  </si>
  <si>
    <t>S. Caccia</t>
  </si>
  <si>
    <t>T. Klammsteiner</t>
  </si>
  <si>
    <t>J. De Smet</t>
  </si>
  <si>
    <t>I.G. Lopes</t>
  </si>
  <si>
    <t>Determining multiple stressor interactions in mass-reared insects based on principles of ecotoxicology</t>
  </si>
  <si>
    <t>https://doi.org/10.1163/23524588-bja10203</t>
  </si>
  <si>
    <t>Insect mass-rearing is a rapidly expanding industry for the production of protein for food and feed. These highly productive artificial rearing environments can expose insects to a range of biotic and abiotic stressors, including insect pathogens, which may result in population crashes. Interactions between insect pathogens with multiple stressors can exacerbate the effects of individual pathogens on host insects. However, reliable predictions on the combined effects of individual stressors based on mechanisms of action are lacking within the field of insect pathology. We review how ecotoxicological modelling of multiple stressors can be applied to mass-reared insect systems and discuss the importance of standardization across research fields investigating multiple stressors. Important considerations in multiple stressor terminology, experimental design, endpoints and analysis of results are discussed to improve understanding of multiple stressors and their impact on insects for food and feed. This is essential for ensuring optimal rearing conditions for mass-reared insect populations.</t>
  </si>
  <si>
    <t>Bellezza Oddon et al.</t>
  </si>
  <si>
    <t>https://doi.org/10.1163/23524588-bja10224</t>
  </si>
  <si>
    <t xml:space="preserve">S. Bellezza Oddon, G. Rossi, V. Bongiorno, L. Gasco, S. Ojha, L. Rastello, M. Renna, L. Rossi Ribeiro, C. Sandrock, O.K. Schlüter, I. Biasato
</t>
  </si>
  <si>
    <t>This study presents specific baseline protocols and actionable recommendations for processing and evaluating insect-derived products for food and feed applications, addressing current gaps in standardization and market integration. Processing methods and the utilization of insect-derived products are two critical aspects intrinsically linked to their market applicability for both food and feed purposes. Therefore, it is imperative to direct research efforts towards these domains, aiming to standardise procedures and products to support broader market adoption. Currently, thermal processing, mechanical fractionation, and enzymatic hydrolysis are among the most common technologies, but differences in temperature, process duration, and input material result in variable products, which might be more suitable for specific applications rather than other. These inconsistencies hamper process standardization as well as stakeholder and market confidence. To address this, the study proposes a set of core variables – including moisture content, processing temperature, and duration – that should be consistently reported in scientific publications to enhance reproducibility and facilitate quality benchmarking. Conversely, the evaluation of insect-derived products as feed ingredients parallels the inclusion of other raw materials into animal diets. Similarities include assessing their nutritional value, digestibility, and compatibility with existing feed formulations. However, the integration of insect-based feed ingredients also necessitates addressing several unique recommendations and considerations that are specific to insects and their derivatives. Notably, the study identifies the need for refined protein quantification techniques (e.g. adjusted N conversion factors) that account for chitin and other non-protein nitrogen sources. Furthermore, insect-derived products are inherently diverse, encompassing a wide range of forms, including dried powders, liquid extracts, whole (live) insects, and processed meals. Each of these product types presents distinct challenges and opportunities in terms of their handling, storage, and integration into feed systems. To guide future application, we outline tailored strategies for each product type, emphasizing the importance of interdisciplinary research spanning animal physiology, behavior, and nutrition. Overall, this work provides a structured framework to advance the standardization, comparability, and integration of insect-derived products across the food and feed sectors.</t>
  </si>
  <si>
    <t>M. Gómez-Brandón</t>
  </si>
  <si>
    <t>C.A.M. Van Gestel</t>
  </si>
  <si>
    <t>C. Adamaki-Sotiraki</t>
  </si>
  <si>
    <t>W. Yakti</t>
  </si>
  <si>
    <t>J.J. Pascual</t>
  </si>
  <si>
    <t>V. Wiklicky</t>
  </si>
  <si>
    <t>C. Sandrock</t>
  </si>
  <si>
    <t>M. Van Peer</t>
  </si>
  <si>
    <t>D.A. Peguero</t>
  </si>
  <si>
    <t>S. Naser El Deen</t>
  </si>
  <si>
    <t>T. Veldkamp</t>
  </si>
  <si>
    <t>D. Deruytter</t>
  </si>
  <si>
    <t>M. Cambra-López</t>
  </si>
  <si>
    <t>N. Lemke</t>
  </si>
  <si>
    <t>P. Yadav</t>
  </si>
  <si>
    <t>E. Dearlove</t>
  </si>
  <si>
    <t>S. Loureiro</t>
  </si>
  <si>
    <t>C. Svendsen</t>
  </si>
  <si>
    <t>M. Lloyd</t>
  </si>
  <si>
    <t>L. Mugo-Kamiri</t>
  </si>
  <si>
    <t>J.M. Petersen</t>
  </si>
  <si>
    <t>E. Bessette</t>
  </si>
  <si>
    <t>S. Edwards</t>
  </si>
  <si>
    <t>F.S. Lim</t>
  </si>
  <si>
    <t>P. Herren</t>
  </si>
  <si>
    <t>L. Hernández Pelegrı́n</t>
  </si>
  <si>
    <t>R.D. Pienaar</t>
  </si>
  <si>
    <t>H. Huditz</t>
  </si>
  <si>
    <t>A. Mostafaie</t>
  </si>
  <si>
    <t>J. Pinto</t>
  </si>
  <si>
    <t>A. Roman</t>
  </si>
  <si>
    <t>C. Savio</t>
  </si>
  <si>
    <t>A.R. Slowik</t>
  </si>
  <si>
    <t>J. Takacs</t>
  </si>
  <si>
    <t>J.K. Upfold</t>
  </si>
  <si>
    <t>H. Hesketh</t>
  </si>
  <si>
    <t>N. Praeg</t>
  </si>
  <si>
    <t>J. Claeys</t>
  </si>
  <si>
    <t>M. Bitterlich</t>
  </si>
  <si>
    <t>J.J. Jones</t>
  </si>
  <si>
    <t>C.-M. Geilfus</t>
  </si>
  <si>
    <t>D. Bruno</t>
  </si>
  <si>
    <t>F. Manas</t>
  </si>
  <si>
    <t>M. Bonelli</t>
  </si>
  <si>
    <t>M. Gold</t>
  </si>
  <si>
    <t>M. Marzari</t>
  </si>
  <si>
    <t>D. Roma</t>
  </si>
  <si>
    <t>M.C. Valoroso</t>
  </si>
  <si>
    <t>A. Montali</t>
  </si>
  <si>
    <t>J.B. Guillaume</t>
  </si>
  <si>
    <t>M. Rebora</t>
  </si>
  <si>
    <t>C. Bressac</t>
  </si>
  <si>
    <t>N. Herman</t>
  </si>
  <si>
    <t>M. Casartelli</t>
  </si>
  <si>
    <t>G. Tettamanti</t>
  </si>
  <si>
    <t>G. Bosch</t>
  </si>
  <si>
    <t>C.I. Rumbos</t>
  </si>
  <si>
    <t>S. Bellezza Oddon</t>
  </si>
  <si>
    <t>C.G. Athanassiou</t>
  </si>
  <si>
    <t>A.P. Parodi</t>
  </si>
  <si>
    <t>T. Spranghers</t>
  </si>
  <si>
    <t>A. Francis</t>
  </si>
  <si>
    <t>R. Zanoli</t>
  </si>
  <si>
    <t>V. Bongiorno</t>
  </si>
  <si>
    <t>L. Gasco</t>
  </si>
  <si>
    <t>S. Ojha</t>
  </si>
  <si>
    <t>L. Rastello</t>
  </si>
  <si>
    <t>M. Renna</t>
  </si>
  <si>
    <t>L. Rossi Ribeiro</t>
  </si>
  <si>
    <t>O.K. Schlüter</t>
  </si>
  <si>
    <t>I. Biasato</t>
  </si>
  <si>
    <t>Department of Agricultural, Forest and Food Sciences, University of Turin, 10095 Grugliasco, Italy</t>
  </si>
  <si>
    <t>Department of Systems Process Engineering, Leibniz Institute for Agricultural Engineering and Bioeconomy (ATB), 14469 Potsdam, Germany</t>
  </si>
  <si>
    <t>Department of Animal Science, Michigan State University, 48824 Michigan, USA</t>
  </si>
  <si>
    <t>Department of Land Sciences, School of Science and Computing, South East Technological University, X91 K0EK Waterford, Ireland</t>
  </si>
  <si>
    <t>Department of Veterinary Science, University of Turin, 10095 Grugliasco, Italy</t>
  </si>
  <si>
    <t>Department of Agricultural and Food Sciences, University of Bologna, 47521 Cesena, Italy</t>
  </si>
  <si>
    <t>South East Technological University</t>
  </si>
  <si>
    <t>Grugliasco</t>
  </si>
  <si>
    <t>Michigan</t>
  </si>
  <si>
    <t>Waterford</t>
  </si>
  <si>
    <t>USA</t>
  </si>
  <si>
    <t>Ireland</t>
  </si>
  <si>
    <t>Michigan State University</t>
  </si>
  <si>
    <t>Department of Livestock Sciences, Research Institute of Organic Agriculture (FiBL), 5070 Frick, Switzerland</t>
  </si>
  <si>
    <t>Amsterdam Institute for Life and Environment (A-LIFE), Faculty of Science, Vrije Universiteit Amsterdam, 1081 HZ Amsterdam, The Netherlands</t>
  </si>
  <si>
    <t>Department of Biology, Centre for Environmental and Marine Studies, University of Aveiro, 3810-193 Aveiro, Portugal</t>
  </si>
  <si>
    <t>Department of Virology, Wageningen University and Research, 6708 PB Wageningen, The Netherlands</t>
  </si>
  <si>
    <t>Department of Genetics, University Institute of Biotechnology and Biomedicine (BIOTECMED), Universitat de València, 46100 Valencia, Spain</t>
  </si>
  <si>
    <t>Institut de Recherche sur la Biologie de l’Insecte, CNRS – University of Tours, 37200 Tours, France</t>
  </si>
  <si>
    <t>Centre for Ecology and Conservation, College of Life and Environmental Science, University of Exeter, TR10 9FE Penryn, UK</t>
  </si>
  <si>
    <t>Living Systems Institute, College of Life and Environmental Sciences, University of Exeter, EX4 4QD Exeter, United Kingdom</t>
  </si>
  <si>
    <t>UK Centre for Ecology and Hydrology, OX10 8BB Wallingford, United Kingdom</t>
  </si>
  <si>
    <t>Department of Plant and Environmental Sciences, University of Copenhagen, 1871 Frederiksberg C, Denmark</t>
  </si>
  <si>
    <t>Institute of Biological Control, Julius Kühn-Institut (JKI), 69221 Dossenheim, Germany</t>
  </si>
  <si>
    <t>Department of Entomology, Wageningen University and Research, 6708 PB Wageningen, The Netherlands</t>
  </si>
  <si>
    <t>Micalis Institute, AgroParisTech, INRAE, Université Paris-Saclay, 78350 Jouy-en-Josas, France</t>
  </si>
  <si>
    <t>UK Centre for Ecology and Hydrology</t>
  </si>
  <si>
    <t>Wallingford</t>
  </si>
  <si>
    <t>Amsterdam</t>
  </si>
  <si>
    <t>Exeter</t>
  </si>
  <si>
    <t>United Kingdom</t>
  </si>
  <si>
    <t>Portugal</t>
  </si>
  <si>
    <t>Denmark</t>
  </si>
  <si>
    <t>University of Aveiro</t>
  </si>
  <si>
    <t>Aveiro</t>
  </si>
  <si>
    <t>Vrije Universiteit Amsterdam</t>
  </si>
  <si>
    <t>University of Exeter</t>
  </si>
  <si>
    <t>Copenhagen</t>
  </si>
  <si>
    <t>Universitat de València</t>
  </si>
  <si>
    <t>Penryn</t>
  </si>
  <si>
    <t>University of Copenhagen</t>
  </si>
  <si>
    <t>Lat</t>
  </si>
  <si>
    <t>Long</t>
  </si>
  <si>
    <t>Department of Microbiology, Universität Innsbruck, Technikerstrasse 25, 6020 Innsbruck, Austria</t>
  </si>
  <si>
    <t>German Institute of Food Technologies (DIL e.V.), 49610 Quakenbrück, Germany</t>
  </si>
  <si>
    <t>R&amp;D Department, Agronutris, 31650 Saint-Orens de Gameville, France</t>
  </si>
  <si>
    <r>
      <t>Basic information and good practices on how to maintain stock populations for &lt;i&gt;</t>
    </r>
    <r>
      <rPr>
        <i/>
        <sz val="11"/>
        <color theme="1"/>
        <rFont val="Aptos"/>
        <family val="2"/>
      </rPr>
      <t>Tenebrio molitor&lt;/i&gt;</t>
    </r>
    <r>
      <rPr>
        <sz val="11"/>
        <color theme="1"/>
        <rFont val="Aptos"/>
        <family val="2"/>
      </rPr>
      <t xml:space="preserve"> and &lt;i&gt;</t>
    </r>
    <r>
      <rPr>
        <i/>
        <sz val="11"/>
        <color theme="1"/>
        <rFont val="Aptos"/>
        <family val="2"/>
      </rPr>
      <t>Hermetia illucens&lt;/i&gt;</t>
    </r>
    <r>
      <rPr>
        <sz val="11"/>
        <color theme="1"/>
        <rFont val="Aptos"/>
        <family val="2"/>
      </rPr>
      <t xml:space="preserve"> for research</t>
    </r>
  </si>
  <si>
    <t>D.N. Cardoso</t>
  </si>
  <si>
    <t>fertiliser, soil amendment, protocol, experimental design, hygienisation</t>
  </si>
  <si>
    <t>Large scale insect farming is exploring routes to enhance the efficiency, stability, and safety of the bioconversion of low-value substrates into insect-derived building blocks for food, feed, and fertiliser. Along with optimising insect rearing conditions and genetics, the insect microbiome is fundamental for the physiology, development, and adaptation of its host to various environmental conditions. To efficiently explore and exploit this ecosystem, a thorough understanding of its composition, function, and dynamics is required. This article aspires to provide a synopsis of the methodologies used to probe the insect-associated microbiome, primarily focusing on industrially relevant insect species. Key considerations for sample timing, selection, storage, and processing are discussed, emphasising the importance of standardised approaches to facilitate cross-study comparisons and enhance reproducibility. Marker gene and shotgun metagenomic sequencing are contrasted as means to investigate microbiome features, touching upon their respective (dis)advantages and potential use cases. Cultivation-based methods are essential for functional characterisation and translating the potential of insect-derived microorganisms for industrial applications. Direct isolation and enrichment cultures, along with anaerobic and aerobic cultivation techniques, are discussed as well. Methods to engineer microbiomes, such as axenic rearing and synthetic community assembly, have developed as powerful tools for exploring the role of specific microbes in host physiology. Beyond these approaches, metabolomics and metaproteomics are emerging as insightful techniques to dig deeper into microbiome functionality and host-microbe interactions. This article provides a multifaceted outline for researchers investigating the insect-associated microbiome and emphasises the importance of standardised methodologies and reporting for advancing the field.</t>
  </si>
  <si>
    <t>Insect frass is one of the most abundant products in the insect industry, regardless of the farmed species. Rich inorganic matter and plant nutrients, frass isapromising organicamendment that can be used inagriculture. While many benefits and challenges have been reported, several knowledge gapsremain unanswered, regarding the specific characteristics and mechanismsof its effects on soils and plants,particularlyintermsof the processes driving these effects and interactions.This article aimstodiscuss recent research on frass and identify existing knowledge gaps, and propose strategies to improve research methodologies,increase comparability across studies, and generate more robust results.The topics covered include the evaluation offrass effects on soil physical properties,microbiological dynamics and fertility, as well as its effects on plant growth, development, and metabolism. The article also explores the potential offrass as an antimicrobial agent and highlights the need for stabilising and improvingits quality and safety before it is used inagricultural activities.Looking forward,insect frass holds great promise as a sustainable input for agriculture, food production, and feed systems.</t>
  </si>
  <si>
    <t>Hermetia illucens, Tenebrio molitor, microbiome, sequencing, methodology</t>
  </si>
  <si>
    <t>D. Bruno, F. Manas, M. Bonelli, M. Gold, M. Marzari, D. Roma, M.C. Valoroso, A. Montali, J.B. Guillaume, M. Rebora, C. Bressac, N. Herman, S. Caccia, M. Casartelli, G. Tettamanti</t>
  </si>
  <si>
    <t xml:space="preserve">E. Dearlove, C.A.M. Van Gestel, S. Loureiro, C. Svendsen, M. Lloyd, L. Mugo-Kamiri, J.M. Petersen, E. Bessette, S. Edwards, F.S. Lim, P. Herren, L. Hernández Pelegrı́n, R.D. Pienaar, H. Huditz, A. Mostafaie, J. Pinto, A. Roman, C. Savio, A.R. Slowik, J. Takacs, J.K. Upfold, H. Hesketh
</t>
  </si>
  <si>
    <t>https://doi.org/10.1163/23524588-bja10254</t>
  </si>
  <si>
    <t>https://doi.org/10.1163/23524588-bja10256</t>
  </si>
  <si>
    <t>https://doi.org/10.1163/23524588-bja10252</t>
  </si>
  <si>
    <t>D. Deruytter, C. Coudron, V. Wiklicky, S. Naser El Deen, M. Van Peer, C. Rumbos, D.A. Peguero, C. Adamaki-Sotiraki, C. Athanassiou, T. Veldkamp, C. Sandrock, W. Yakti</t>
  </si>
  <si>
    <t>This chapter of the BugBook provides guidance and addresses challenges towards conducting experiments that aim to optimize the production of insects for food and feed, focusing exclusively on Tenebrio molitor (yellow mealworm) and Hermetia illucens (black soldier fly). The goal is to improve the reliability, reproducibility, and efficiency of insect production experiments. This reduces the human and financial resources needed, improves quality, and ensure the broader implementation of the results. Importantly, these guidelines are based on both data from literature and from unpublished experiences of the authors. Most aspects of the experimental systems are discussed, starting with methods to ensure that the laboratory conditions correct, followed by the experimental design and setup, including a focus on the control group, scale, and number of replicates. Thereafter, information is provided on the different aspects that need to be monitored during the experiment and how to conclude or harvest an experiment. The latter includes a discussion on the various criteria for determining the optimal harvest time. Finally, common challenges in working on insect larvae are identified and guidelines towards relevant publication information are provided.</t>
  </si>
  <si>
    <t xml:space="preserve">Hermetia illucens, insect production experiments, reproducibility, standardisation, Tenebrio molitor </t>
  </si>
  <si>
    <t xml:space="preserve">additivity, antagonism, entomopathogens, mixtures, synergism </t>
  </si>
  <si>
    <t xml:space="preserve">alternative protein, edible insect, insect meal, livestock, reproducibility </t>
  </si>
  <si>
    <t>Deruytter &amp; Veldkamp</t>
  </si>
  <si>
    <t xml:space="preserve">Editorial: Why guidelines and standardization in insect research? </t>
  </si>
  <si>
    <t>https://doi.org/10.1163/23524588-bja10151</t>
  </si>
  <si>
    <t>D. Deruytter, T. Veldkamp</t>
  </si>
  <si>
    <r>
      <t>Research on the use of insects as a source of food and feed is experiencing significant growth, as it may contribute to the transition from linear agricultural practices to a more sustainable circular system (van Huis and Oonincx, 2017). For instance, a search in Google Scholar for articles containing “</t>
    </r>
    <r>
      <rPr>
        <i/>
        <sz val="11"/>
        <color theme="1"/>
        <rFont val="Calibri"/>
        <family val="2"/>
        <scheme val="minor"/>
      </rPr>
      <t>Tenebrio molitor</t>
    </r>
    <r>
      <rPr>
        <sz val="11"/>
        <color theme="1"/>
        <rFont val="Calibri"/>
        <family val="2"/>
        <scheme val="minor"/>
      </rPr>
      <t>” or “</t>
    </r>
    <r>
      <rPr>
        <i/>
        <sz val="11"/>
        <color theme="1"/>
        <rFont val="Calibri"/>
        <family val="2"/>
        <scheme val="minor"/>
      </rPr>
      <t>Hermetia illucens</t>
    </r>
    <r>
      <rPr>
        <sz val="11"/>
        <color theme="1"/>
        <rFont val="Calibri"/>
        <family val="2"/>
        <scheme val="minor"/>
      </rPr>
      <t xml:space="preserve">” in the title reveals an increase in publications from 115 in 2014 to 961 in 2023 (Figure 1), compared to a total of only 534 publications from 2004 to 2013. This growth rate surpasses the overall increase in scientific publications over a similar period (47% from 2016 to 2022; Hanson </t>
    </r>
    <r>
      <rPr>
        <i/>
        <sz val="11"/>
        <color theme="1"/>
        <rFont val="Calibri"/>
        <family val="2"/>
        <scheme val="minor"/>
      </rPr>
      <t>et al</t>
    </r>
    <r>
      <rPr>
        <sz val="11"/>
        <color theme="1"/>
        <rFont val="Calibri"/>
        <family val="2"/>
        <scheme val="minor"/>
      </rPr>
      <t>., 2024), indicating a rising interest and engagement in this emerging field.</t>
    </r>
  </si>
  <si>
    <t>Published_online</t>
  </si>
  <si>
    <t>Received</t>
  </si>
  <si>
    <t>Accepted</t>
  </si>
  <si>
    <t>Alnarp</t>
  </si>
  <si>
    <t>Department of Biosystems and Technology, Swedish University of Agricultural Sciences, 234 56 Alnarp, Sweden</t>
  </si>
  <si>
    <t>Vigo University</t>
  </si>
  <si>
    <t>Vigo</t>
  </si>
  <si>
    <t>Grupo de Ecología Animal (GEA), Torre CACTI-Lab 95, Vigo University, 36310 Vigo, Spain</t>
  </si>
  <si>
    <t>Urban Plant Ecophysiology Division, Albrecht Daniel-Thaer Institute of Agriculture and Horticulture, Humboldt-Universität zu Berlin, 14195 Berlin, Germany</t>
  </si>
  <si>
    <t>Department of Biosystems Engineering, Albrecht Daniel Thaer-Institute of Agricultural and Horticultural Sciences, Humboldt-University zu Berlin, 14195 Berlin, Germany</t>
  </si>
  <si>
    <t>Hochschule Geisenheim</t>
  </si>
  <si>
    <t>Geisenheim</t>
  </si>
  <si>
    <t>Department of Soil Science and Plant Nutrition, Hochschule Geisenheim, 65366 Geisenheim, Germany</t>
  </si>
  <si>
    <t>https://orcid.org/0000-0003-0381-7537</t>
  </si>
  <si>
    <t>https://orcid.org/0000-0003-4744-535X</t>
  </si>
  <si>
    <t>https://orcid.org/0000-0002-1531-8543</t>
  </si>
  <si>
    <t>https://orcid.org/0000-0003-2167-7865</t>
  </si>
  <si>
    <t>https://orcid.org/0000-0003-2579-5586</t>
  </si>
  <si>
    <t>https://orcid.org/0000-0002-3562-7327</t>
  </si>
  <si>
    <t>https://orcid.org/0000-0001-5652-408X</t>
  </si>
  <si>
    <t>https://orcid.org/0000-0002-9820-8111</t>
  </si>
  <si>
    <t>https://orcid.org/0000-0003-1280-5159</t>
  </si>
  <si>
    <t>https://orcid.org/0000-0001-8565-2240</t>
  </si>
  <si>
    <t>https://orcid.org/0000-0001-6880-9680</t>
  </si>
  <si>
    <t>ORCID</t>
  </si>
  <si>
    <t>Inagro vzw, 8800 Rumbeke-Beitem, Belgium</t>
  </si>
  <si>
    <t>https://orcid.org/0000-0002-0620-6187</t>
  </si>
  <si>
    <t>https://orcid.org/0000-0002-0777-3634</t>
  </si>
  <si>
    <t>https://orcid.org/0000-0003-0737-5510</t>
  </si>
  <si>
    <t>https://orcid.org/0009-0007-3982-9544</t>
  </si>
  <si>
    <t>https://orcid.org/0000-0002-2054-2216</t>
  </si>
  <si>
    <t>https://orcid.org/0000-0002-0256-928X</t>
  </si>
  <si>
    <t>https://orcid.org/0000-0001-6578-4019</t>
  </si>
  <si>
    <t>https://orcid.org/0000-0001-9851-0882</t>
  </si>
  <si>
    <t>https://orcid.org/0000-0002-3169-352X</t>
  </si>
  <si>
    <t>https://orcid.org/0000-0002-5892-7699</t>
  </si>
  <si>
    <t>https://orcid.org/0000-0001-6130-9392</t>
  </si>
  <si>
    <t>https://orcid.org/0000-0002-0560-4466</t>
  </si>
  <si>
    <t>https://orcid.org/0000-0003-2248-7609</t>
  </si>
  <si>
    <t>https://orcid.org/0000-0003-1884-8627</t>
  </si>
  <si>
    <t>https://orcid.org/0000-0002-5268-9554</t>
  </si>
  <si>
    <t>https://orcid.org/0000-0002-5651-0208</t>
  </si>
  <si>
    <t>https://orcid.org/0000-0002-5393-9623</t>
  </si>
  <si>
    <t>https://orcid.org/0000-0001-7281-647X</t>
  </si>
  <si>
    <t>https://orcid.org/0009-0000-8153-8029</t>
  </si>
  <si>
    <t>https://orcid.org/0009-0008-6553-8457</t>
  </si>
  <si>
    <t>https://orcid.org/0000-0002-2190-1401</t>
  </si>
  <si>
    <t>https://orcid.org/0000-0001-7005-7182</t>
  </si>
  <si>
    <t>https://orcid.org/0000-0002-2796-8527</t>
  </si>
  <si>
    <t>https://orcid.org/0000-0002-2650-7518</t>
  </si>
  <si>
    <t>https://orcid.org/0000-0002-8358-9636</t>
  </si>
  <si>
    <t>https://orcid.org/0000-0003-4910-4583</t>
  </si>
  <si>
    <t>https://orcid.org/0000-0002-8797-9420</t>
  </si>
  <si>
    <t>https://orcid.org/0000-0002-4278-1197</t>
  </si>
  <si>
    <t>https://orcid.org/0000-0002-8581-4737</t>
  </si>
  <si>
    <t>https://orcid.org/0000-0001-6600-8126</t>
  </si>
  <si>
    <t>https://orcid.org/0000-0003-3079-3868</t>
  </si>
  <si>
    <t>https://orcid.org/0000-0002-8325-4262</t>
  </si>
  <si>
    <t>https://orcid.org/0000-0003-1794-7658</t>
  </si>
  <si>
    <t>https://orcid.org/0000-0003-1954-7180</t>
  </si>
  <si>
    <t>https://orcid.org/0000-0002-1413-7660</t>
  </si>
  <si>
    <t>https://orcid.org/0000-0002-0665-828X</t>
  </si>
  <si>
    <t>https://orcid.org/0000-0002-6728-4859</t>
  </si>
  <si>
    <t>https://orcid.org/0000-0001-7285-6164</t>
  </si>
  <si>
    <t>https://orcid.org/0000-0003-3678-3855</t>
  </si>
  <si>
    <t>https://orcid.org/0000-0001-8942-0682</t>
  </si>
  <si>
    <t>https://orcid.org/0000-0002-6789-3531</t>
  </si>
  <si>
    <t>https://orcid.org/0000-0003-2994-1325</t>
  </si>
  <si>
    <t>https://orcid.org/0000-0003-1308-3979</t>
  </si>
  <si>
    <t>https://orcid.org/0000-0002-1829-7936</t>
  </si>
  <si>
    <t>https://orcid.org/0000-0003-2057-2287</t>
  </si>
  <si>
    <t>https://orcid.org/0000-0001-5185-2797</t>
  </si>
  <si>
    <t>https://orcid.org/0000-0003-4296-7589</t>
  </si>
  <si>
    <t>https://orcid.org/0000-0002-6305-9654</t>
  </si>
  <si>
    <t>https://orcid.org/0000-0002-6806-9886</t>
  </si>
  <si>
    <t>https://orcid.org/0000-0002-8855-4248</t>
  </si>
  <si>
    <t>https://orcid.org/0000-0001-7068-4514</t>
  </si>
  <si>
    <t>https://orcid.org/0000-0002-0701-5526</t>
  </si>
  <si>
    <t>https://orcid.org/0000-0001-9268-9228</t>
  </si>
  <si>
    <t>https://orcid.org/0000-0001-9091-2983</t>
  </si>
  <si>
    <t>https://orcid.org/0000-0002-5471-0521</t>
  </si>
  <si>
    <t>https://orcid.org/0000-0003-2813-9277</t>
  </si>
  <si>
    <t>https://orcid.org/0000-0002-7224-9978</t>
  </si>
  <si>
    <t>https://orcid.org/0000-0002-7108-397X</t>
  </si>
  <si>
    <t>C. Rumbos</t>
  </si>
  <si>
    <t>#</t>
  </si>
  <si>
    <t>Québec</t>
  </si>
  <si>
    <t>Canada</t>
  </si>
  <si>
    <t>Branch for Bioresources, Fraunhofer Institute for Molecular Biology and Applied Ecology (IME), Giessen, Germany</t>
  </si>
  <si>
    <t>Department of Animal Sciences, Université Laval, Québec, Canada</t>
  </si>
  <si>
    <t>Université Laval</t>
  </si>
  <si>
    <t>Fraunhofer Institute for Molecular Biology and Applied Ecology (IME)</t>
  </si>
  <si>
    <t>Giessen</t>
  </si>
  <si>
    <t>BMBF Junior Research Group in Bioeconomy (BioKreativ) “SymBioÖkonomie”, Giessen, Germany</t>
  </si>
  <si>
    <t>Research Group for Insect Production and Processing, Department of Microbial and Molecular Systems, KU Leuven, 2440 Geel, Belgium</t>
  </si>
  <si>
    <t>https://orcid.org/0000-0003-1814-9041</t>
  </si>
  <si>
    <t>https://orcid.org/0009-0002-7212-5964</t>
  </si>
  <si>
    <t>https://orcid.org/0000-0002-7200-089X</t>
  </si>
  <si>
    <t>https://orcid.org/0000-0002-2550-3267</t>
  </si>
  <si>
    <t>https://orcid.org/0000-0003-2853-6598</t>
  </si>
  <si>
    <t>https://orcid.org/0000-0003-1351-138X</t>
  </si>
  <si>
    <t>https://orcid.org/0000-0002-5714-9506</t>
  </si>
  <si>
    <t>https://orcid.org/0009-0000-6148-8765</t>
  </si>
  <si>
    <t>https://orcid.org/0000-0001-8144-9624</t>
  </si>
  <si>
    <t>https://orcid.org/0000-0002-4271-6336</t>
  </si>
  <si>
    <t>https://orcid.org/0000-0001-7609-8970</t>
  </si>
  <si>
    <t>coleoptera, diptera, edible insects, nutrient requirements, orthoptera</t>
  </si>
  <si>
    <t xml:space="preserve">Genetics of insects as food and feed </t>
  </si>
  <si>
    <t>https://doi.org/10.1163/23524588-bja10260</t>
  </si>
  <si>
    <t>C. Sandrock, T.N. Generalovic, K. Paul, G.E.L. Petersen, E. Sellem, M.B. Smith, M. Tapio, W. Yakti, L.W. Beukeboom, D. Deruytter, C.D. Jiggins, T. Lefebvre, P. Librado, B.A. Pannebakker, C.J. Picard, C. Rhode, J.G. Sørensen, A.C. Bouwman, L.S. Hansen, J. Obšteter</t>
  </si>
  <si>
    <t>Just like traditional livestock, farmed insects harbour genetic variation and can be selectively bred to optimise traits of interest. This BugBook article presents a comprehensive overview of how genetics can contribute to improving insect production for food and feed. Molecular genetics and genomics approaches for generating the data essential for understanding species biology are presented, as well as their implementation in dedicated selective breeding programmes, and options for health and quality control of mass rearing operations. To harness the breeding potential of farmed insects, methods to investigate population genetic diversity and structure through population and evolutionary genetic principles are provided as well as tools for monitoring genetic variation and assessing genetic consequences of captive breeding to adequately manage populations. An overview is given on quantitative genetics of farmed insects, how to record phenotypes and pedigrees, estimate genetic parameters, and design optimal breeding programmes. Lastly, the role of functional genetics in insect production is discussed, the biological link between DNA and phenotypic variation, and key to effectively apply genetic improvement strategies through selective breeding. This article identifies knowledge gaps in insect breeding and provides recommendations for application and future research. Major challenges in the field of genetics of farmed insects include how to phenotype large numbers of individual insects over generations; how environmental factors affect trait expression, including interaction with genetics; and how to translate results from laboratory settings to mass rearing environments. This article will contribute to further develop the area of genetics of insects for food and feed.</t>
  </si>
  <si>
    <t xml:space="preserve">demographic inference, insect breeding, population management, review, selection scheme </t>
  </si>
  <si>
    <t xml:space="preserve">Advancing insect utilization for food and feed: standardizing processing methods, enhancing techno-functional properties, and refining feeding trial protocols </t>
  </si>
  <si>
    <t>T.N. Generalovic</t>
  </si>
  <si>
    <t>K. Paul</t>
  </si>
  <si>
    <t>G.E.L. Petersen</t>
  </si>
  <si>
    <t>E. Sellem</t>
  </si>
  <si>
    <t>M.B. Smith</t>
  </si>
  <si>
    <t>M. Tapio</t>
  </si>
  <si>
    <t>L.W. Beukeboom</t>
  </si>
  <si>
    <t>C.D. Jiggins</t>
  </si>
  <si>
    <t>T. Lefebvre</t>
  </si>
  <si>
    <t>P. Librado</t>
  </si>
  <si>
    <t>B.A. Pannebakker</t>
  </si>
  <si>
    <t>C.J. Picard</t>
  </si>
  <si>
    <t>C. Rhode</t>
  </si>
  <si>
    <t>J.G. Sørensen</t>
  </si>
  <si>
    <t>A.C. Bouwman</t>
  </si>
  <si>
    <t>L.S. Hansen</t>
  </si>
  <si>
    <t>J. Obšteter</t>
  </si>
  <si>
    <t>https://orcid.org/0000-0002-8983-1024</t>
  </si>
  <si>
    <t>https://orcid.org/0000-0002-3228-3063</t>
  </si>
  <si>
    <t>https://orcid.org/0000-0003-2956-0426</t>
  </si>
  <si>
    <t>https://orcid.org/0000-0001-9251-9077</t>
  </si>
  <si>
    <t>https://orcid.org/0009-0002-6853-9224</t>
  </si>
  <si>
    <t>https://orcid.org/0000-0002-1859-8376</t>
  </si>
  <si>
    <t>https://orcid.org/0000-0001-9838-9314</t>
  </si>
  <si>
    <t>https://orcid.org/0000-0002-7809-062X</t>
  </si>
  <si>
    <t>https://orcid.org/0000-0001-9167-1536</t>
  </si>
  <si>
    <t>https://orcid.org/0000-0001-5974-2189</t>
  </si>
  <si>
    <t>https://orcid.org/0000-0001-8503-3896</t>
  </si>
  <si>
    <t>https://orcid.org/0000-0001-8589-8283</t>
  </si>
  <si>
    <t>https://orcid.org/0000-0001-7969-7282</t>
  </si>
  <si>
    <t>https://orcid.org/0000-0002-9149-3626</t>
  </si>
  <si>
    <t>https://orcid.org/0000-0001-5079-7108</t>
  </si>
  <si>
    <t>https://orcid.org/0000-0002-4270-6365</t>
  </si>
  <si>
    <t>https://orcid.org/0000-0003-1511-3916</t>
  </si>
  <si>
    <t>Department of Zoology, University of Cambridge, Cambridge CB2 3EJ, United Kingdom</t>
  </si>
  <si>
    <t>University of Cambridge</t>
  </si>
  <si>
    <t>Cambridge</t>
  </si>
  <si>
    <t>Better Origin, Entomics Biosystems Limited, Cambridge CB21 5DA, United Kingdom</t>
  </si>
  <si>
    <t>RandD Biotech Innovations, Ÿnsect, Evry 91000, France</t>
  </si>
  <si>
    <t>Ÿnsect</t>
  </si>
  <si>
    <t>Evry</t>
  </si>
  <si>
    <t>Laves Institute for Apiculture Celle, 29221 Celle, Germany</t>
  </si>
  <si>
    <t>Laves Institute for Apiculture</t>
  </si>
  <si>
    <t>Celle</t>
  </si>
  <si>
    <t>Department of Biology, Indiana University-Indianapolis, 46202 Indianapolis, USA</t>
  </si>
  <si>
    <t>Indiana University-Indianapolis</t>
  </si>
  <si>
    <t>Indianapolis</t>
  </si>
  <si>
    <t>Production Systems – Genomics and Breeding, Natural Resources Institute Finland (LUKE), 31600 Jokioinen, Finland</t>
  </si>
  <si>
    <t>Natural Resources Institute Finland (LUKE)</t>
  </si>
  <si>
    <t>Jokioinen</t>
  </si>
  <si>
    <t>Finland</t>
  </si>
  <si>
    <t>Groningen Institute for Evolutionary Life Sciences, University of Groningen, 9700 CC Groningen, The Netherlands</t>
  </si>
  <si>
    <t>University of Groningen</t>
  </si>
  <si>
    <t>Groningen</t>
  </si>
  <si>
    <t>Universitat Pompeu Fabra</t>
  </si>
  <si>
    <t>Barcelona</t>
  </si>
  <si>
    <t>Institut de Biologia Evolutiva (CSIC-UPF), Universitat Pompeu Fabra, Barcelona, Spain</t>
  </si>
  <si>
    <t>Laboratory of Genetics, Wageningen University and Research, 6700 AA Wageningen, The Netherlands</t>
  </si>
  <si>
    <t>Department of Genetics, Stellenbosch University, Matieland 7602, Stellenbosch, South Africa</t>
  </si>
  <si>
    <t>Stellenbosch University</t>
  </si>
  <si>
    <t>Stellenbosch</t>
  </si>
  <si>
    <t>South Africa</t>
  </si>
  <si>
    <t>Department of Biology, Aarhus University, 8000 Aarhus C, Denmark</t>
  </si>
  <si>
    <t>Aarhus University</t>
  </si>
  <si>
    <t>Aarhus</t>
  </si>
  <si>
    <t>Animal Breeding and Genomics, Wageningen University and Research, 6700 AH Wageningen, The Netherlands</t>
  </si>
  <si>
    <t>Center for Quantitative Genetics and Genomics, Aarhus University, 8000 Aarhus C, Denmark</t>
  </si>
  <si>
    <t>Agricultural Institute of Slovenia</t>
  </si>
  <si>
    <t>Ljubljana</t>
  </si>
  <si>
    <t>Slovenia</t>
  </si>
  <si>
    <t>Agricultural Institute of Slovenia, 1000 Ljubljana, Slovenia</t>
  </si>
  <si>
    <t>https://orcid.org/0000-0001-5754-0743</t>
  </si>
  <si>
    <t>https://orcid.org/0000-0002-4901-5399</t>
  </si>
  <si>
    <t>https://orcid.org/0000-0003-4268-4052</t>
  </si>
  <si>
    <t>https://orcid.org/0000-0002-7564-7023</t>
  </si>
  <si>
    <t>https://orcid.org/0009-0001-8321-9141</t>
  </si>
  <si>
    <t>https://orcid.org/0000-0002-4210-7098</t>
  </si>
  <si>
    <t>https://orcid.org/0009-0008-0149-0087</t>
  </si>
  <si>
    <t>https://orcid.org/0000-0003-3990-5731</t>
  </si>
  <si>
    <t>https://doi.org/10.1163/23524588-bja10322</t>
  </si>
  <si>
    <t>D.N. Cardoso, M. Prodana, A.R.R. Silva, R.G. Morgado, J.N. Pinto, S. Loureiro</t>
  </si>
  <si>
    <t>This BugBook article provides an overview of edible insect toxicological concerns, focusing on exposure routes, mechanisms of toxicity, and assessment endpoints relevant to human and environmental health. Insects are exposed to contaminants through dermal, oral, injection, and inhalation routes. This article explores key toxicity mechanisms, including neurotoxicity, endocrine disruption, oxidative stress, and immune suppression, emphasising their implications for toxicity in insects. Methodological approaches to assess the toxicity of contaminants, such as topical application, dietary exposures, bioaccumulation assays, and advanced modelling techniques, are discussed, highlighting their adaptability for edible insect species. Standardised protocols, such as those from the Organisation for Economic Co-operation and Development (OECD) and the International Organisation for Standardisation (ISO), are presented whenever possible (excluding bees). Data analyses, interpretation, and modelling are briefly summarised, along with examples and case studies that highlight the relevance of toxicity testing for ensuring food safety, regulatory compliance, and sustainable insect farming practices. Bioaccumulation studies using toxicokinetics modelling reveal insights into contaminant uptake and elimination in relevant edible insect species, supporting practical applications like depuration periods in rearing facilities. By addressing current gaps in methodologies and providing a roadmap for ecotoxicological research, this article aims to guide policymakers, researchers, and industry stakeholders in promoting safe and sustainable practices for the insect-based food and feed sector. The findings underscore the importance of interdisciplinary collaboration in harmonising global standards, safeguarding public health, and advancing circular bioeconomy goals.</t>
  </si>
  <si>
    <t xml:space="preserve">bioaccumulation, edible insects, food safety, risk assessment, toxicity mechanisms </t>
  </si>
  <si>
    <t>M. Prodana</t>
  </si>
  <si>
    <t>A.R.R. Silva</t>
  </si>
  <si>
    <t>R.G. Morgado</t>
  </si>
  <si>
    <t>J.N. Pinto</t>
  </si>
  <si>
    <t>https://orcid.org/0000-0002-7747-4699</t>
  </si>
  <si>
    <t>https://orcid.org/0000-0003-0689-639X</t>
  </si>
  <si>
    <t>https://orcid.org/0000-0001-6772-3762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</si>
</sst>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sz val="11"/>
      <color rgb="FF292929"/>
      <name val="Aptos"/>
      <family val="2"/>
    </font>
    <font>
      <sz val="11"/>
      <color theme="1"/>
      <name val="Aptos"/>
      <family val="2"/>
    </font>
    <font>
      <u/>
      <sz val="11"/>
      <color theme="10"/>
      <name val="Calibri"/>
      <family val="2"/>
      <scheme val="minor"/>
    </font>
    <font>
      <i/>
      <sz val="11"/>
      <color theme="1"/>
      <name val="Aptos"/>
      <family val="2"/>
    </font>
    <font>
      <i/>
      <sz val="11"/>
      <color theme="1"/>
      <name val="Calibri"/>
      <family val="2"/>
      <scheme val="minor"/>
    </font>
    <font>
      <b/>
      <sz val="11"/>
      <color theme="1"/>
      <name val="Calibri"/>
      <family val="2"/>
      <scheme val="minor"/>
    </font>
    <font>
      <b/>
      <sz val="11"/>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0" borderId="0" xfId="0" applyFont="1"/>
    <xf numFmtId="0" fontId="1" fillId="0" borderId="0" xfId="0" applyFont="1" applyAlignment="1">
      <alignment horizontal="left" vertical="center"/>
    </xf>
    <xf numFmtId="0" fontId="3" fillId="0" borderId="0" xfId="1"/>
    <xf numFmtId="0" fontId="2" fillId="0" borderId="0" xfId="0" applyFont="1" applyAlignment="1">
      <alignment horizontal="left"/>
    </xf>
    <xf numFmtId="164" fontId="2" fillId="0" borderId="0" xfId="0" applyNumberFormat="1" applyFont="1"/>
    <xf numFmtId="0" fontId="6" fillId="0" borderId="0" xfId="0" applyFont="1"/>
    <xf numFmtId="0" fontId="6" fillId="0" borderId="0" xfId="0" applyFont="1" applyAlignment="1">
      <alignment horizontal="left"/>
    </xf>
    <xf numFmtId="0" fontId="0" fillId="0" borderId="0" xfId="0" applyAlignment="1">
      <alignment horizontal="left"/>
    </xf>
    <xf numFmtId="0" fontId="7" fillId="0" borderId="0" xfId="0" applyFont="1"/>
    <xf numFmtId="164" fontId="7"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63/23524588-bja10224" TargetMode="External"/><Relationship Id="rId13" Type="http://schemas.openxmlformats.org/officeDocument/2006/relationships/hyperlink" Target="https://doi.org/10.1163/23524588-bja10260" TargetMode="External"/><Relationship Id="rId3" Type="http://schemas.openxmlformats.org/officeDocument/2006/relationships/hyperlink" Target="https://doi.org/10.1163/23524588-bja10226" TargetMode="External"/><Relationship Id="rId7" Type="http://schemas.openxmlformats.org/officeDocument/2006/relationships/hyperlink" Target="https://doi.org/10.1163/23524588-bja10203" TargetMode="External"/><Relationship Id="rId12" Type="http://schemas.openxmlformats.org/officeDocument/2006/relationships/hyperlink" Target="https://doi.org/10.1163/23524588-bja10151" TargetMode="External"/><Relationship Id="rId2" Type="http://schemas.openxmlformats.org/officeDocument/2006/relationships/hyperlink" Target="https://doi.org/10.1163/23524588-20250002" TargetMode="External"/><Relationship Id="rId1" Type="http://schemas.openxmlformats.org/officeDocument/2006/relationships/hyperlink" Target="https://doi.org/10.1163/23524588-bja10225" TargetMode="External"/><Relationship Id="rId6" Type="http://schemas.openxmlformats.org/officeDocument/2006/relationships/hyperlink" Target="https://doi.org/10.1163/23524588-bja10240" TargetMode="External"/><Relationship Id="rId11" Type="http://schemas.openxmlformats.org/officeDocument/2006/relationships/hyperlink" Target="https://doi.org/10.1163/23524588-bja10252" TargetMode="External"/><Relationship Id="rId5" Type="http://schemas.openxmlformats.org/officeDocument/2006/relationships/hyperlink" Target="https://doi.org/10.1163/23524588-bja10238" TargetMode="External"/><Relationship Id="rId10" Type="http://schemas.openxmlformats.org/officeDocument/2006/relationships/hyperlink" Target="https://doi.org/10.1163/23524588-bja10254" TargetMode="External"/><Relationship Id="rId4" Type="http://schemas.openxmlformats.org/officeDocument/2006/relationships/hyperlink" Target="https://doi.org/10.1163/23524588-bja10209" TargetMode="External"/><Relationship Id="rId9" Type="http://schemas.openxmlformats.org/officeDocument/2006/relationships/hyperlink" Target="https://doi.org/10.1163/23524588-bja10256" TargetMode="External"/><Relationship Id="rId14" Type="http://schemas.openxmlformats.org/officeDocument/2006/relationships/hyperlink" Target="https://doi.org/10.1163/23524588-bja1032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rcid.org/0000-0002-4210-7098" TargetMode="External"/><Relationship Id="rId2" Type="http://schemas.openxmlformats.org/officeDocument/2006/relationships/hyperlink" Target="https://orcid.org/0009-0001-8321-9141" TargetMode="External"/><Relationship Id="rId1" Type="http://schemas.openxmlformats.org/officeDocument/2006/relationships/hyperlink" Target="https://orcid.org/0000-0003-3678-38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opLeftCell="C1" zoomScale="85" zoomScaleNormal="85" workbookViewId="0">
      <selection activeCell="H12" sqref="H12"/>
    </sheetView>
  </sheetViews>
  <sheetFormatPr defaultColWidth="9.1796875" defaultRowHeight="14.5" x14ac:dyDescent="0.35"/>
  <cols>
    <col min="1" max="1" width="11.1796875" style="1" bestFit="1" customWidth="1"/>
    <col min="2" max="2" width="20.453125" style="1" bestFit="1" customWidth="1"/>
    <col min="3" max="3" width="19.81640625" style="1" customWidth="1"/>
    <col min="4" max="4" width="12.1796875" style="5" bestFit="1" customWidth="1"/>
    <col min="5" max="5" width="12.453125" style="5" bestFit="1" customWidth="1"/>
    <col min="6" max="6" width="20" style="5" bestFit="1" customWidth="1"/>
    <col min="7" max="7" width="40" style="1" bestFit="1" customWidth="1"/>
    <col min="8" max="8" width="45.1796875" style="1" customWidth="1"/>
    <col min="9" max="9" width="13.1796875" style="1" customWidth="1"/>
    <col min="10" max="10" width="17" style="1" customWidth="1"/>
    <col min="11" max="16384" width="9.1796875" style="1"/>
  </cols>
  <sheetData>
    <row r="1" spans="1:10" s="9" customFormat="1" x14ac:dyDescent="0.35">
      <c r="A1" s="9" t="s">
        <v>0</v>
      </c>
      <c r="B1" s="9" t="s">
        <v>16</v>
      </c>
      <c r="C1" s="9" t="s">
        <v>1</v>
      </c>
      <c r="D1" s="10" t="s">
        <v>310</v>
      </c>
      <c r="E1" s="10" t="s">
        <v>311</v>
      </c>
      <c r="F1" s="10" t="s">
        <v>309</v>
      </c>
      <c r="G1" s="9" t="s">
        <v>15</v>
      </c>
      <c r="H1" s="9" t="s">
        <v>17</v>
      </c>
      <c r="I1" s="9" t="s">
        <v>14</v>
      </c>
      <c r="J1" s="9" t="s">
        <v>55</v>
      </c>
    </row>
    <row r="2" spans="1:10" x14ac:dyDescent="0.35">
      <c r="A2" s="4">
        <v>0</v>
      </c>
      <c r="B2" s="1" t="s">
        <v>304</v>
      </c>
      <c r="C2" s="1" t="s">
        <v>305</v>
      </c>
      <c r="D2" s="5">
        <v>45627</v>
      </c>
      <c r="E2" s="5">
        <v>45637</v>
      </c>
      <c r="F2" s="5">
        <v>45838</v>
      </c>
      <c r="G2" s="3" t="s">
        <v>306</v>
      </c>
      <c r="H2" s="1" t="s">
        <v>307</v>
      </c>
      <c r="I2" t="s">
        <v>308</v>
      </c>
    </row>
    <row r="3" spans="1:10" x14ac:dyDescent="0.35">
      <c r="A3" s="2">
        <v>1</v>
      </c>
      <c r="B3" s="2" t="s">
        <v>2</v>
      </c>
      <c r="C3" s="1" t="s">
        <v>288</v>
      </c>
      <c r="D3" s="5">
        <v>45632</v>
      </c>
      <c r="E3" s="5">
        <v>45789</v>
      </c>
      <c r="F3" s="5">
        <v>45805</v>
      </c>
      <c r="G3" s="3" t="s">
        <v>129</v>
      </c>
      <c r="H3" s="1" t="s">
        <v>132</v>
      </c>
      <c r="I3" s="1" t="s">
        <v>131</v>
      </c>
      <c r="J3" s="1" t="s">
        <v>130</v>
      </c>
    </row>
    <row r="4" spans="1:10" x14ac:dyDescent="0.35">
      <c r="A4" s="2">
        <v>2</v>
      </c>
      <c r="B4" s="2" t="s">
        <v>3</v>
      </c>
      <c r="C4" s="1" t="s">
        <v>123</v>
      </c>
      <c r="D4" s="5">
        <v>45627</v>
      </c>
      <c r="E4" s="5">
        <v>45813</v>
      </c>
      <c r="F4" s="5">
        <v>45832</v>
      </c>
      <c r="G4" s="3" t="s">
        <v>298</v>
      </c>
      <c r="H4" s="1" t="s">
        <v>299</v>
      </c>
      <c r="I4" s="1" t="s">
        <v>300</v>
      </c>
      <c r="J4" s="1" t="s">
        <v>301</v>
      </c>
    </row>
    <row r="5" spans="1:10" x14ac:dyDescent="0.35">
      <c r="A5" s="2">
        <v>3</v>
      </c>
      <c r="B5" s="2" t="s">
        <v>4</v>
      </c>
      <c r="C5" s="1" t="s">
        <v>122</v>
      </c>
      <c r="D5" s="5">
        <v>45639</v>
      </c>
      <c r="E5" s="5">
        <v>45945</v>
      </c>
      <c r="F5" s="5">
        <v>45968</v>
      </c>
      <c r="G5" s="3" t="s">
        <v>501</v>
      </c>
      <c r="H5" s="1" t="s">
        <v>502</v>
      </c>
      <c r="I5" s="1" t="s">
        <v>503</v>
      </c>
      <c r="J5" s="1" t="s">
        <v>504</v>
      </c>
    </row>
    <row r="6" spans="1:10" x14ac:dyDescent="0.35">
      <c r="A6" s="2">
        <v>4</v>
      </c>
      <c r="B6" s="2" t="s">
        <v>5</v>
      </c>
      <c r="C6" s="1" t="s">
        <v>121</v>
      </c>
      <c r="D6" s="5">
        <v>45621</v>
      </c>
      <c r="E6" s="5">
        <v>45771</v>
      </c>
      <c r="F6" s="5">
        <v>45791</v>
      </c>
      <c r="G6" s="3" t="s">
        <v>57</v>
      </c>
      <c r="H6" s="1" t="s">
        <v>21</v>
      </c>
      <c r="I6" s="1" t="s">
        <v>58</v>
      </c>
      <c r="J6" s="1" t="s">
        <v>60</v>
      </c>
    </row>
    <row r="7" spans="1:10" x14ac:dyDescent="0.35">
      <c r="A7" s="2">
        <v>5</v>
      </c>
      <c r="B7" s="2" t="s">
        <v>6</v>
      </c>
      <c r="C7" s="1" t="s">
        <v>164</v>
      </c>
      <c r="D7" s="5">
        <v>45632</v>
      </c>
      <c r="E7" s="5">
        <v>45737</v>
      </c>
      <c r="F7" s="5">
        <v>45783</v>
      </c>
      <c r="G7" s="3" t="s">
        <v>165</v>
      </c>
      <c r="H7" s="1" t="s">
        <v>295</v>
      </c>
      <c r="I7" s="1" t="s">
        <v>166</v>
      </c>
      <c r="J7" t="s">
        <v>302</v>
      </c>
    </row>
    <row r="8" spans="1:10" x14ac:dyDescent="0.35">
      <c r="A8" s="2">
        <v>6</v>
      </c>
      <c r="B8" s="2" t="s">
        <v>7</v>
      </c>
      <c r="C8" s="1" t="s">
        <v>119</v>
      </c>
      <c r="D8" s="5">
        <v>45622</v>
      </c>
      <c r="E8" s="5">
        <v>45813</v>
      </c>
      <c r="F8" s="5">
        <v>45833</v>
      </c>
      <c r="G8" s="3" t="s">
        <v>296</v>
      </c>
      <c r="H8" s="1" t="s">
        <v>19</v>
      </c>
      <c r="I8" t="s">
        <v>292</v>
      </c>
      <c r="J8" s="1" t="s">
        <v>290</v>
      </c>
    </row>
    <row r="9" spans="1:10" x14ac:dyDescent="0.35">
      <c r="A9" s="2">
        <v>7</v>
      </c>
      <c r="B9" s="2" t="s">
        <v>8</v>
      </c>
      <c r="C9" s="1" t="s">
        <v>120</v>
      </c>
      <c r="D9" s="5">
        <v>45632</v>
      </c>
      <c r="E9" s="5">
        <v>45818</v>
      </c>
      <c r="F9" s="5">
        <v>45842</v>
      </c>
      <c r="G9" s="3" t="s">
        <v>297</v>
      </c>
      <c r="H9" s="1" t="s">
        <v>20</v>
      </c>
      <c r="I9" t="s">
        <v>291</v>
      </c>
      <c r="J9" s="1" t="s">
        <v>293</v>
      </c>
    </row>
    <row r="10" spans="1:10" x14ac:dyDescent="0.35">
      <c r="A10" s="2">
        <v>8</v>
      </c>
      <c r="B10" s="2" t="s">
        <v>9</v>
      </c>
      <c r="C10" s="1" t="s">
        <v>61</v>
      </c>
      <c r="D10" s="5">
        <v>45626</v>
      </c>
      <c r="E10" s="5">
        <v>45679</v>
      </c>
      <c r="F10" s="5">
        <v>45798</v>
      </c>
      <c r="G10" s="3" t="s">
        <v>62</v>
      </c>
      <c r="H10" s="1" t="s">
        <v>294</v>
      </c>
      <c r="I10" s="1" t="s">
        <v>63</v>
      </c>
      <c r="J10" s="1" t="s">
        <v>64</v>
      </c>
    </row>
    <row r="11" spans="1:10" x14ac:dyDescent="0.35">
      <c r="A11" s="2">
        <v>9</v>
      </c>
      <c r="B11" s="2" t="s">
        <v>10</v>
      </c>
      <c r="C11" s="1" t="s">
        <v>117</v>
      </c>
      <c r="D11" s="5">
        <v>45630</v>
      </c>
      <c r="E11" s="5">
        <v>45771</v>
      </c>
      <c r="F11" s="5">
        <v>45799</v>
      </c>
      <c r="G11" s="3" t="s">
        <v>54</v>
      </c>
      <c r="H11" s="1" t="s">
        <v>52</v>
      </c>
      <c r="I11" s="1" t="s">
        <v>53</v>
      </c>
      <c r="J11" s="1" t="s">
        <v>415</v>
      </c>
    </row>
    <row r="12" spans="1:10" x14ac:dyDescent="0.35">
      <c r="A12" s="2">
        <v>10</v>
      </c>
      <c r="B12" s="2" t="s">
        <v>167</v>
      </c>
      <c r="C12" s="1" t="s">
        <v>421</v>
      </c>
      <c r="D12" s="5">
        <v>45642</v>
      </c>
      <c r="E12" s="5">
        <v>45769</v>
      </c>
      <c r="F12" s="5">
        <v>45791</v>
      </c>
      <c r="G12" s="3" t="s">
        <v>168</v>
      </c>
      <c r="H12" s="1" t="s">
        <v>169</v>
      </c>
      <c r="I12" s="1" t="s">
        <v>170</v>
      </c>
      <c r="J12" s="1" t="s">
        <v>303</v>
      </c>
    </row>
    <row r="13" spans="1:10" x14ac:dyDescent="0.35">
      <c r="A13" s="2">
        <v>11</v>
      </c>
      <c r="B13" s="2" t="s">
        <v>11</v>
      </c>
      <c r="C13" s="1" t="s">
        <v>416</v>
      </c>
      <c r="D13" s="5">
        <v>45628</v>
      </c>
      <c r="E13" s="5">
        <v>45824</v>
      </c>
      <c r="F13" s="5">
        <v>45847</v>
      </c>
      <c r="G13" s="3" t="s">
        <v>417</v>
      </c>
      <c r="H13" s="1" t="s">
        <v>418</v>
      </c>
      <c r="I13" s="1" t="s">
        <v>419</v>
      </c>
      <c r="J13" s="1" t="s">
        <v>420</v>
      </c>
    </row>
    <row r="14" spans="1:10" x14ac:dyDescent="0.35">
      <c r="A14" s="2">
        <v>12</v>
      </c>
      <c r="B14" s="2" t="s">
        <v>12</v>
      </c>
      <c r="C14" s="1" t="s">
        <v>124</v>
      </c>
      <c r="D14" s="5">
        <v>45632</v>
      </c>
      <c r="E14" s="5">
        <v>45787</v>
      </c>
      <c r="F14" s="5">
        <v>45807</v>
      </c>
      <c r="G14" s="3" t="s">
        <v>125</v>
      </c>
      <c r="H14" s="1" t="s">
        <v>126</v>
      </c>
      <c r="I14" s="1" t="s">
        <v>127</v>
      </c>
      <c r="J14" s="1" t="s">
        <v>128</v>
      </c>
    </row>
    <row r="15" spans="1:10" x14ac:dyDescent="0.35">
      <c r="A15" s="2">
        <v>13</v>
      </c>
      <c r="B15" s="2" t="s">
        <v>13</v>
      </c>
      <c r="C15" s="1" t="s">
        <v>118</v>
      </c>
      <c r="D15" s="5">
        <v>45626</v>
      </c>
      <c r="E15" s="5">
        <v>45741</v>
      </c>
      <c r="F15" s="5">
        <v>45798</v>
      </c>
      <c r="G15" s="3" t="s">
        <v>51</v>
      </c>
      <c r="H15" s="1" t="s">
        <v>18</v>
      </c>
      <c r="I15" s="1" t="s">
        <v>59</v>
      </c>
      <c r="J15" s="1" t="s">
        <v>56</v>
      </c>
    </row>
  </sheetData>
  <autoFilter ref="A1:J1" xr:uid="{00000000-0001-0000-0000-000000000000}"/>
  <hyperlinks>
    <hyperlink ref="G6" r:id="rId1" xr:uid="{0C0171CA-0903-4D2B-B722-BA3EE56BC4CA}"/>
    <hyperlink ref="G10" r:id="rId2" xr:uid="{F34C9495-B169-4DC1-BFA4-E00EDA150D8F}"/>
    <hyperlink ref="G11" r:id="rId3" xr:uid="{5136B63A-7917-4F43-9F07-AA153FFDCADC}"/>
    <hyperlink ref="G15" r:id="rId4" xr:uid="{EF52442A-A54F-414E-9564-CABE55A58F7A}"/>
    <hyperlink ref="G14" r:id="rId5" xr:uid="{BA3ACD8B-5AB8-410A-A630-202FC5E8592D}"/>
    <hyperlink ref="G3" r:id="rId6" xr:uid="{36B5FF0F-44E4-4EA5-A975-6F7D517F6D86}"/>
    <hyperlink ref="G7" r:id="rId7" xr:uid="{8266B1B7-66B3-463B-BD9F-2B882CDC791F}"/>
    <hyperlink ref="G12" r:id="rId8" xr:uid="{D3CF4B5B-3666-4EBD-8192-6A48028493D2}"/>
    <hyperlink ref="G9" r:id="rId9" xr:uid="{ACA3C891-8910-461B-A855-31E4C6276CCD}"/>
    <hyperlink ref="G8" r:id="rId10" xr:uid="{34DA181E-EBB4-4769-A5FC-2DDB2B32A25F}"/>
    <hyperlink ref="G4" r:id="rId11" xr:uid="{F89CB6CD-187D-46D5-9F97-BF49D27527D0}"/>
    <hyperlink ref="G2" r:id="rId12" xr:uid="{901F6081-E4BD-4633-8062-4AD2A1C06DDF}"/>
    <hyperlink ref="G13" r:id="rId13" xr:uid="{B36FE00C-863A-473D-AAD4-9BA811785C5A}"/>
    <hyperlink ref="G5" r:id="rId14" xr:uid="{D5A17087-3D6B-4625-9A2B-F54B20615F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0D25E-7499-4D12-9A0D-98A4686DA573}">
  <dimension ref="A1:J150"/>
  <sheetViews>
    <sheetView tabSelected="1" zoomScale="85" zoomScaleNormal="85" workbookViewId="0">
      <pane ySplit="1" topLeftCell="A11" activePane="bottomLeft" state="frozen"/>
      <selection pane="bottomLeft" activeCell="F155" sqref="F155"/>
    </sheetView>
  </sheetViews>
  <sheetFormatPr defaultRowHeight="14.5" x14ac:dyDescent="0.35"/>
  <cols>
    <col min="2" max="2" width="19.453125" customWidth="1"/>
    <col min="3" max="3" width="144.54296875" bestFit="1" customWidth="1"/>
    <col min="4" max="4" width="31.81640625" customWidth="1"/>
    <col min="5" max="5" width="66" bestFit="1" customWidth="1"/>
    <col min="6" max="6" width="25.81640625" bestFit="1" customWidth="1"/>
    <col min="7" max="7" width="17.1796875" bestFit="1" customWidth="1"/>
    <col min="8" max="8" width="14.81640625" bestFit="1" customWidth="1"/>
    <col min="9" max="9" width="15.81640625" bestFit="1" customWidth="1"/>
    <col min="10" max="10" width="40.54296875" bestFit="1" customWidth="1"/>
  </cols>
  <sheetData>
    <row r="1" spans="1:10" x14ac:dyDescent="0.35">
      <c r="A1" s="6" t="s">
        <v>0</v>
      </c>
      <c r="B1" s="6" t="s">
        <v>22</v>
      </c>
      <c r="C1" s="6" t="s">
        <v>87</v>
      </c>
      <c r="D1" s="6" t="s">
        <v>88</v>
      </c>
      <c r="E1" s="6" t="s">
        <v>34</v>
      </c>
      <c r="F1" s="6" t="s">
        <v>33</v>
      </c>
      <c r="G1" s="6" t="s">
        <v>23</v>
      </c>
      <c r="H1" s="6" t="s">
        <v>283</v>
      </c>
      <c r="I1" s="6" t="s">
        <v>284</v>
      </c>
      <c r="J1" s="6" t="s">
        <v>333</v>
      </c>
    </row>
    <row r="2" spans="1:10" x14ac:dyDescent="0.35">
      <c r="A2">
        <v>0</v>
      </c>
      <c r="B2" t="s">
        <v>182</v>
      </c>
      <c r="C2" t="s">
        <v>334</v>
      </c>
      <c r="E2" t="s">
        <v>97</v>
      </c>
      <c r="F2" t="s">
        <v>116</v>
      </c>
      <c r="G2" t="s">
        <v>27</v>
      </c>
      <c r="H2">
        <v>50.901688931880003</v>
      </c>
      <c r="I2">
        <v>3.1244129975938102</v>
      </c>
      <c r="J2" t="s">
        <v>331</v>
      </c>
    </row>
    <row r="3" spans="1:10" x14ac:dyDescent="0.35">
      <c r="A3">
        <v>0</v>
      </c>
      <c r="B3" t="s">
        <v>181</v>
      </c>
      <c r="C3" t="s">
        <v>82</v>
      </c>
      <c r="E3" t="s">
        <v>110</v>
      </c>
      <c r="F3" t="s">
        <v>40</v>
      </c>
      <c r="G3" t="s">
        <v>89</v>
      </c>
      <c r="H3">
        <v>51.983874071808501</v>
      </c>
      <c r="I3">
        <v>5.6589433976446699</v>
      </c>
      <c r="J3" t="s">
        <v>332</v>
      </c>
    </row>
    <row r="4" spans="1:10" x14ac:dyDescent="0.35">
      <c r="A4">
        <v>1</v>
      </c>
      <c r="B4" t="s">
        <v>133</v>
      </c>
      <c r="C4" t="s">
        <v>334</v>
      </c>
      <c r="E4" t="s">
        <v>97</v>
      </c>
      <c r="F4" t="s">
        <v>116</v>
      </c>
      <c r="G4" t="s">
        <v>27</v>
      </c>
      <c r="H4">
        <v>50.901688931880003</v>
      </c>
      <c r="I4">
        <v>3.1244129975938102</v>
      </c>
      <c r="J4" t="s">
        <v>335</v>
      </c>
    </row>
    <row r="5" spans="1:10" x14ac:dyDescent="0.35">
      <c r="A5">
        <v>1</v>
      </c>
      <c r="B5" t="s">
        <v>173</v>
      </c>
      <c r="C5" t="s">
        <v>134</v>
      </c>
      <c r="E5" t="s">
        <v>112</v>
      </c>
      <c r="F5" t="s">
        <v>135</v>
      </c>
      <c r="G5" t="s">
        <v>25</v>
      </c>
      <c r="H5">
        <v>39.387933871504998</v>
      </c>
      <c r="I5">
        <v>22.9405089971035</v>
      </c>
      <c r="J5" t="s">
        <v>336</v>
      </c>
    </row>
    <row r="6" spans="1:10" x14ac:dyDescent="0.35">
      <c r="A6">
        <v>1</v>
      </c>
      <c r="B6" t="s">
        <v>174</v>
      </c>
      <c r="C6" t="s">
        <v>317</v>
      </c>
      <c r="E6" t="s">
        <v>43</v>
      </c>
      <c r="F6" t="s">
        <v>44</v>
      </c>
      <c r="G6" t="s">
        <v>26</v>
      </c>
      <c r="H6">
        <v>52.458026759456096</v>
      </c>
      <c r="I6">
        <v>13.3017890536159</v>
      </c>
      <c r="J6" t="s">
        <v>326</v>
      </c>
    </row>
    <row r="7" spans="1:10" x14ac:dyDescent="0.35">
      <c r="A7">
        <v>1</v>
      </c>
      <c r="B7" t="s">
        <v>175</v>
      </c>
      <c r="C7" t="s">
        <v>136</v>
      </c>
      <c r="E7" t="s">
        <v>94</v>
      </c>
      <c r="F7" t="s">
        <v>47</v>
      </c>
      <c r="G7" t="s">
        <v>30</v>
      </c>
      <c r="H7">
        <v>39.481962550494103</v>
      </c>
      <c r="I7">
        <v>-0.33822661346496702</v>
      </c>
      <c r="J7" t="s">
        <v>337</v>
      </c>
    </row>
    <row r="8" spans="1:10" x14ac:dyDescent="0.35">
      <c r="A8">
        <v>1</v>
      </c>
      <c r="B8" t="s">
        <v>176</v>
      </c>
      <c r="C8" t="s">
        <v>139</v>
      </c>
      <c r="E8" t="s">
        <v>140</v>
      </c>
      <c r="F8" t="s">
        <v>141</v>
      </c>
      <c r="G8" t="s">
        <v>142</v>
      </c>
      <c r="H8">
        <v>59.817039486629803</v>
      </c>
      <c r="I8">
        <v>17.661905826869599</v>
      </c>
      <c r="J8" t="s">
        <v>338</v>
      </c>
    </row>
    <row r="9" spans="1:10" x14ac:dyDescent="0.35">
      <c r="A9">
        <v>1</v>
      </c>
      <c r="B9" t="s">
        <v>177</v>
      </c>
      <c r="C9" t="s">
        <v>255</v>
      </c>
      <c r="E9" t="s">
        <v>114</v>
      </c>
      <c r="F9" t="s">
        <v>98</v>
      </c>
      <c r="G9" t="s">
        <v>24</v>
      </c>
      <c r="H9">
        <v>47.5165278569471</v>
      </c>
      <c r="I9">
        <v>8.0255581112228906</v>
      </c>
      <c r="J9" t="s">
        <v>339</v>
      </c>
    </row>
    <row r="10" spans="1:10" x14ac:dyDescent="0.35">
      <c r="A10">
        <v>1</v>
      </c>
      <c r="B10" t="s">
        <v>178</v>
      </c>
      <c r="C10" t="s">
        <v>143</v>
      </c>
      <c r="E10" t="s">
        <v>144</v>
      </c>
      <c r="F10" t="s">
        <v>145</v>
      </c>
      <c r="G10" t="s">
        <v>27</v>
      </c>
      <c r="H10">
        <v>51.160938939948899</v>
      </c>
      <c r="I10">
        <v>4.9613980167991301</v>
      </c>
      <c r="J10" t="s">
        <v>340</v>
      </c>
    </row>
    <row r="11" spans="1:10" x14ac:dyDescent="0.35">
      <c r="A11">
        <v>1</v>
      </c>
      <c r="B11" t="s">
        <v>229</v>
      </c>
      <c r="C11" t="s">
        <v>134</v>
      </c>
      <c r="E11" t="s">
        <v>112</v>
      </c>
      <c r="F11" t="s">
        <v>135</v>
      </c>
      <c r="G11" t="s">
        <v>25</v>
      </c>
      <c r="H11">
        <v>39.387933871504998</v>
      </c>
      <c r="I11">
        <v>22.9405089971035</v>
      </c>
      <c r="J11" t="s">
        <v>341</v>
      </c>
    </row>
    <row r="12" spans="1:10" x14ac:dyDescent="0.35">
      <c r="A12">
        <v>1</v>
      </c>
      <c r="B12" t="s">
        <v>179</v>
      </c>
      <c r="C12" t="s">
        <v>146</v>
      </c>
      <c r="E12" t="s">
        <v>147</v>
      </c>
      <c r="F12" t="s">
        <v>148</v>
      </c>
      <c r="G12" t="s">
        <v>24</v>
      </c>
      <c r="H12">
        <v>47.403798947918503</v>
      </c>
      <c r="I12">
        <v>8.6098382992801792</v>
      </c>
      <c r="J12" t="s">
        <v>342</v>
      </c>
    </row>
    <row r="13" spans="1:10" x14ac:dyDescent="0.35">
      <c r="A13">
        <v>1</v>
      </c>
      <c r="B13" t="s">
        <v>227</v>
      </c>
      <c r="C13" t="s">
        <v>137</v>
      </c>
      <c r="E13" t="s">
        <v>45</v>
      </c>
      <c r="F13" t="s">
        <v>46</v>
      </c>
      <c r="G13" t="s">
        <v>25</v>
      </c>
      <c r="H13">
        <v>38.612410505095603</v>
      </c>
      <c r="I13">
        <v>21.415228454744302</v>
      </c>
      <c r="J13" t="s">
        <v>343</v>
      </c>
    </row>
    <row r="14" spans="1:10" x14ac:dyDescent="0.35">
      <c r="A14">
        <v>1</v>
      </c>
      <c r="B14" t="s">
        <v>180</v>
      </c>
      <c r="C14" t="s">
        <v>82</v>
      </c>
      <c r="E14" t="s">
        <v>110</v>
      </c>
      <c r="F14" t="s">
        <v>40</v>
      </c>
      <c r="G14" t="s">
        <v>89</v>
      </c>
      <c r="H14">
        <v>51.983874071808501</v>
      </c>
      <c r="I14">
        <v>5.6589433976446699</v>
      </c>
      <c r="J14" t="s">
        <v>344</v>
      </c>
    </row>
    <row r="15" spans="1:10" x14ac:dyDescent="0.35">
      <c r="A15">
        <v>1</v>
      </c>
      <c r="B15" t="s">
        <v>181</v>
      </c>
      <c r="C15" t="s">
        <v>82</v>
      </c>
      <c r="E15" t="s">
        <v>110</v>
      </c>
      <c r="F15" t="s">
        <v>40</v>
      </c>
      <c r="G15" t="s">
        <v>89</v>
      </c>
      <c r="H15">
        <v>51.983874071808501</v>
      </c>
      <c r="I15">
        <v>5.6589433976446699</v>
      </c>
      <c r="J15" t="s">
        <v>332</v>
      </c>
    </row>
    <row r="16" spans="1:10" x14ac:dyDescent="0.35">
      <c r="A16">
        <v>1</v>
      </c>
      <c r="B16" t="s">
        <v>182</v>
      </c>
      <c r="C16" t="s">
        <v>334</v>
      </c>
      <c r="E16" t="s">
        <v>97</v>
      </c>
      <c r="F16" t="s">
        <v>116</v>
      </c>
      <c r="G16" t="s">
        <v>27</v>
      </c>
      <c r="H16">
        <v>50.901688931880003</v>
      </c>
      <c r="I16">
        <v>3.1244129975938102</v>
      </c>
      <c r="J16" t="s">
        <v>331</v>
      </c>
    </row>
    <row r="17" spans="1:10" x14ac:dyDescent="0.35">
      <c r="A17">
        <v>1</v>
      </c>
      <c r="B17" t="s">
        <v>183</v>
      </c>
      <c r="C17" t="s">
        <v>136</v>
      </c>
      <c r="E17" t="s">
        <v>94</v>
      </c>
      <c r="F17" t="s">
        <v>47</v>
      </c>
      <c r="G17" t="s">
        <v>30</v>
      </c>
      <c r="H17">
        <v>39.481962550494103</v>
      </c>
      <c r="I17">
        <v>-0.33822661346496702</v>
      </c>
      <c r="J17" t="s">
        <v>345</v>
      </c>
    </row>
    <row r="18" spans="1:10" x14ac:dyDescent="0.35">
      <c r="A18">
        <v>2</v>
      </c>
      <c r="B18" s="2" t="s">
        <v>182</v>
      </c>
      <c r="C18" t="s">
        <v>334</v>
      </c>
      <c r="E18" t="s">
        <v>97</v>
      </c>
      <c r="F18" t="s">
        <v>116</v>
      </c>
      <c r="G18" t="s">
        <v>27</v>
      </c>
      <c r="H18">
        <v>50.901688931880003</v>
      </c>
      <c r="I18">
        <v>3.1244129975938102</v>
      </c>
      <c r="J18" t="s">
        <v>331</v>
      </c>
    </row>
    <row r="19" spans="1:10" x14ac:dyDescent="0.35">
      <c r="A19">
        <v>2</v>
      </c>
      <c r="B19" t="s">
        <v>133</v>
      </c>
      <c r="C19" t="s">
        <v>334</v>
      </c>
      <c r="E19" t="s">
        <v>97</v>
      </c>
      <c r="F19" t="s">
        <v>116</v>
      </c>
      <c r="G19" t="s">
        <v>27</v>
      </c>
      <c r="H19">
        <v>50.901688931880003</v>
      </c>
      <c r="I19">
        <v>3.1244129975938102</v>
      </c>
      <c r="J19" t="s">
        <v>335</v>
      </c>
    </row>
    <row r="20" spans="1:10" x14ac:dyDescent="0.35">
      <c r="A20">
        <v>2</v>
      </c>
      <c r="B20" t="s">
        <v>176</v>
      </c>
      <c r="C20" t="s">
        <v>139</v>
      </c>
      <c r="E20" t="s">
        <v>140</v>
      </c>
      <c r="F20" t="s">
        <v>141</v>
      </c>
      <c r="G20" t="s">
        <v>142</v>
      </c>
      <c r="H20">
        <v>59.817039486629803</v>
      </c>
      <c r="I20">
        <v>17.661905826869599</v>
      </c>
      <c r="J20" t="s">
        <v>338</v>
      </c>
    </row>
    <row r="21" spans="1:10" x14ac:dyDescent="0.35">
      <c r="A21">
        <v>2</v>
      </c>
      <c r="B21" t="s">
        <v>180</v>
      </c>
      <c r="C21" t="s">
        <v>82</v>
      </c>
      <c r="E21" t="s">
        <v>110</v>
      </c>
      <c r="F21" t="s">
        <v>40</v>
      </c>
      <c r="G21" t="s">
        <v>89</v>
      </c>
      <c r="H21">
        <v>51.983874071808501</v>
      </c>
      <c r="I21">
        <v>5.6589433976446699</v>
      </c>
      <c r="J21" t="s">
        <v>344</v>
      </c>
    </row>
    <row r="22" spans="1:10" x14ac:dyDescent="0.35">
      <c r="A22">
        <v>2</v>
      </c>
      <c r="B22" t="s">
        <v>178</v>
      </c>
      <c r="C22" t="s">
        <v>143</v>
      </c>
      <c r="E22" t="s">
        <v>144</v>
      </c>
      <c r="F22" t="s">
        <v>145</v>
      </c>
      <c r="G22" t="s">
        <v>27</v>
      </c>
      <c r="H22">
        <v>51.160938939948899</v>
      </c>
      <c r="I22">
        <v>4.9613980167991301</v>
      </c>
      <c r="J22" t="s">
        <v>340</v>
      </c>
    </row>
    <row r="23" spans="1:10" x14ac:dyDescent="0.35">
      <c r="A23">
        <v>2</v>
      </c>
      <c r="B23" t="s">
        <v>393</v>
      </c>
      <c r="C23" t="s">
        <v>137</v>
      </c>
      <c r="E23" t="s">
        <v>45</v>
      </c>
      <c r="F23" t="s">
        <v>46</v>
      </c>
      <c r="G23" t="s">
        <v>25</v>
      </c>
      <c r="H23">
        <v>38.612410505095603</v>
      </c>
      <c r="I23">
        <v>21.415228454744302</v>
      </c>
      <c r="J23" t="s">
        <v>343</v>
      </c>
    </row>
    <row r="24" spans="1:10" x14ac:dyDescent="0.35">
      <c r="A24">
        <v>2</v>
      </c>
      <c r="B24" t="s">
        <v>179</v>
      </c>
      <c r="C24" t="s">
        <v>146</v>
      </c>
      <c r="E24" t="s">
        <v>147</v>
      </c>
      <c r="F24" t="s">
        <v>148</v>
      </c>
      <c r="G24" t="s">
        <v>24</v>
      </c>
      <c r="H24">
        <v>47.403798947918503</v>
      </c>
      <c r="I24">
        <v>8.6098382992801792</v>
      </c>
      <c r="J24" t="s">
        <v>342</v>
      </c>
    </row>
    <row r="25" spans="1:10" x14ac:dyDescent="0.35">
      <c r="A25">
        <v>2</v>
      </c>
      <c r="B25" t="s">
        <v>173</v>
      </c>
      <c r="C25" t="s">
        <v>134</v>
      </c>
      <c r="E25" t="s">
        <v>112</v>
      </c>
      <c r="F25" t="s">
        <v>135</v>
      </c>
      <c r="G25" t="s">
        <v>25</v>
      </c>
      <c r="H25">
        <v>39.387933871504998</v>
      </c>
      <c r="I25">
        <v>22.9405089971035</v>
      </c>
      <c r="J25" t="s">
        <v>336</v>
      </c>
    </row>
    <row r="26" spans="1:10" x14ac:dyDescent="0.35">
      <c r="A26">
        <v>2</v>
      </c>
      <c r="B26" t="s">
        <v>229</v>
      </c>
      <c r="C26" t="s">
        <v>134</v>
      </c>
      <c r="E26" t="s">
        <v>112</v>
      </c>
      <c r="F26" t="s">
        <v>135</v>
      </c>
      <c r="G26" t="s">
        <v>25</v>
      </c>
      <c r="H26">
        <v>39.387933871504998</v>
      </c>
      <c r="I26">
        <v>22.9405089971035</v>
      </c>
      <c r="J26" t="s">
        <v>341</v>
      </c>
    </row>
    <row r="27" spans="1:10" x14ac:dyDescent="0.35">
      <c r="A27">
        <v>2</v>
      </c>
      <c r="B27" t="s">
        <v>181</v>
      </c>
      <c r="C27" t="s">
        <v>82</v>
      </c>
      <c r="E27" t="s">
        <v>110</v>
      </c>
      <c r="F27" t="s">
        <v>40</v>
      </c>
      <c r="G27" t="s">
        <v>89</v>
      </c>
      <c r="H27">
        <v>51.983874071808501</v>
      </c>
      <c r="I27">
        <v>5.6589433976446699</v>
      </c>
      <c r="J27" t="s">
        <v>332</v>
      </c>
    </row>
    <row r="28" spans="1:10" x14ac:dyDescent="0.35">
      <c r="A28">
        <v>2</v>
      </c>
      <c r="B28" t="s">
        <v>177</v>
      </c>
      <c r="C28" t="s">
        <v>255</v>
      </c>
      <c r="E28" t="s">
        <v>114</v>
      </c>
      <c r="F28" t="s">
        <v>98</v>
      </c>
      <c r="G28" t="s">
        <v>24</v>
      </c>
      <c r="H28">
        <v>47.5165278569471</v>
      </c>
      <c r="I28">
        <v>8.0255581112228906</v>
      </c>
      <c r="J28" t="s">
        <v>339</v>
      </c>
    </row>
    <row r="29" spans="1:10" x14ac:dyDescent="0.35">
      <c r="A29">
        <v>2</v>
      </c>
      <c r="B29" t="s">
        <v>174</v>
      </c>
      <c r="C29" t="s">
        <v>317</v>
      </c>
      <c r="E29" t="s">
        <v>43</v>
      </c>
      <c r="F29" t="s">
        <v>44</v>
      </c>
      <c r="G29" t="s">
        <v>26</v>
      </c>
      <c r="H29">
        <v>52.458026759456096</v>
      </c>
      <c r="I29">
        <v>13.3017890536159</v>
      </c>
      <c r="J29" t="s">
        <v>326</v>
      </c>
    </row>
    <row r="30" spans="1:10" x14ac:dyDescent="0.35">
      <c r="A30">
        <v>3</v>
      </c>
      <c r="B30" s="2" t="s">
        <v>289</v>
      </c>
      <c r="C30" t="s">
        <v>257</v>
      </c>
      <c r="E30" t="s">
        <v>275</v>
      </c>
      <c r="F30" t="s">
        <v>276</v>
      </c>
      <c r="G30" t="s">
        <v>273</v>
      </c>
      <c r="H30">
        <v>40.633778434327198</v>
      </c>
      <c r="I30">
        <v>-8.6593167806106006</v>
      </c>
      <c r="J30" t="s">
        <v>493</v>
      </c>
    </row>
    <row r="31" spans="1:10" x14ac:dyDescent="0.35">
      <c r="A31">
        <v>3</v>
      </c>
      <c r="B31" s="2" t="s">
        <v>505</v>
      </c>
      <c r="C31" t="s">
        <v>257</v>
      </c>
      <c r="E31" t="s">
        <v>275</v>
      </c>
      <c r="F31" t="s">
        <v>276</v>
      </c>
      <c r="G31" t="s">
        <v>273</v>
      </c>
      <c r="H31">
        <v>40.633778434327198</v>
      </c>
      <c r="I31">
        <v>-8.6593167806106006</v>
      </c>
      <c r="J31" t="s">
        <v>509</v>
      </c>
    </row>
    <row r="32" spans="1:10" x14ac:dyDescent="0.35">
      <c r="A32">
        <v>3</v>
      </c>
      <c r="B32" s="2" t="s">
        <v>506</v>
      </c>
      <c r="C32" t="s">
        <v>257</v>
      </c>
      <c r="E32" t="s">
        <v>275</v>
      </c>
      <c r="F32" t="s">
        <v>276</v>
      </c>
      <c r="G32" t="s">
        <v>273</v>
      </c>
      <c r="H32">
        <v>40.633778434327198</v>
      </c>
      <c r="I32">
        <v>-8.6593167806106006</v>
      </c>
      <c r="J32" t="s">
        <v>510</v>
      </c>
    </row>
    <row r="33" spans="1:10" x14ac:dyDescent="0.35">
      <c r="A33">
        <v>3</v>
      </c>
      <c r="B33" s="2" t="s">
        <v>507</v>
      </c>
      <c r="C33" t="s">
        <v>257</v>
      </c>
      <c r="E33" t="s">
        <v>275</v>
      </c>
      <c r="F33" t="s">
        <v>276</v>
      </c>
      <c r="G33" t="s">
        <v>273</v>
      </c>
      <c r="H33">
        <v>40.633778434327198</v>
      </c>
      <c r="I33">
        <v>-8.6593167806106006</v>
      </c>
      <c r="J33" t="s">
        <v>511</v>
      </c>
    </row>
    <row r="34" spans="1:10" x14ac:dyDescent="0.35">
      <c r="A34">
        <v>3</v>
      </c>
      <c r="B34" s="2" t="s">
        <v>508</v>
      </c>
      <c r="C34" t="s">
        <v>257</v>
      </c>
      <c r="E34" t="s">
        <v>275</v>
      </c>
      <c r="F34" t="s">
        <v>276</v>
      </c>
      <c r="G34" t="s">
        <v>273</v>
      </c>
      <c r="H34">
        <v>40.633778434327198</v>
      </c>
      <c r="I34">
        <v>-8.6593167806106006</v>
      </c>
      <c r="J34" t="s">
        <v>494</v>
      </c>
    </row>
    <row r="35" spans="1:10" x14ac:dyDescent="0.35">
      <c r="A35">
        <v>3</v>
      </c>
      <c r="B35" s="2" t="s">
        <v>187</v>
      </c>
      <c r="C35" t="s">
        <v>257</v>
      </c>
      <c r="E35" t="s">
        <v>275</v>
      </c>
      <c r="F35" t="s">
        <v>276</v>
      </c>
      <c r="G35" t="s">
        <v>273</v>
      </c>
      <c r="H35">
        <v>40.633778434327198</v>
      </c>
      <c r="I35">
        <v>-8.6593167806106006</v>
      </c>
      <c r="J35" t="s">
        <v>351</v>
      </c>
    </row>
    <row r="36" spans="1:10" x14ac:dyDescent="0.35">
      <c r="A36">
        <v>4</v>
      </c>
      <c r="B36" s="1" t="s">
        <v>65</v>
      </c>
      <c r="C36" t="s">
        <v>68</v>
      </c>
      <c r="E36" t="s">
        <v>39</v>
      </c>
      <c r="F36" t="s">
        <v>38</v>
      </c>
      <c r="G36" t="s">
        <v>28</v>
      </c>
      <c r="H36">
        <v>30.611539796408</v>
      </c>
      <c r="I36">
        <v>-96.347648287433501</v>
      </c>
      <c r="J36" t="s">
        <v>346</v>
      </c>
    </row>
    <row r="37" spans="1:10" x14ac:dyDescent="0.35">
      <c r="A37">
        <v>4</v>
      </c>
      <c r="B37" t="s">
        <v>161</v>
      </c>
      <c r="C37" t="s">
        <v>69</v>
      </c>
      <c r="E37" t="s">
        <v>37</v>
      </c>
      <c r="F37" t="s">
        <v>36</v>
      </c>
      <c r="G37" t="s">
        <v>29</v>
      </c>
      <c r="H37">
        <v>47.264327448622801</v>
      </c>
      <c r="I37">
        <v>11.342513280116099</v>
      </c>
      <c r="J37" t="s">
        <v>330</v>
      </c>
    </row>
    <row r="38" spans="1:10" x14ac:dyDescent="0.35">
      <c r="A38">
        <v>4</v>
      </c>
      <c r="B38" t="s">
        <v>184</v>
      </c>
      <c r="C38" t="s">
        <v>68</v>
      </c>
      <c r="E38" t="s">
        <v>39</v>
      </c>
      <c r="F38" t="s">
        <v>38</v>
      </c>
      <c r="G38" t="s">
        <v>28</v>
      </c>
      <c r="H38">
        <v>30.611539796408</v>
      </c>
      <c r="I38">
        <v>-96.347648287433501</v>
      </c>
      <c r="J38" t="s">
        <v>347</v>
      </c>
    </row>
    <row r="39" spans="1:10" x14ac:dyDescent="0.35">
      <c r="A39">
        <v>4</v>
      </c>
      <c r="B39" t="s">
        <v>185</v>
      </c>
      <c r="C39" t="s">
        <v>70</v>
      </c>
      <c r="E39" t="s">
        <v>102</v>
      </c>
      <c r="F39" t="s">
        <v>48</v>
      </c>
      <c r="G39" t="s">
        <v>29</v>
      </c>
      <c r="H39">
        <v>47.055869361630897</v>
      </c>
      <c r="I39">
        <v>15.468238426254301</v>
      </c>
      <c r="J39" t="s">
        <v>348</v>
      </c>
    </row>
    <row r="40" spans="1:10" x14ac:dyDescent="0.35">
      <c r="A40">
        <v>4</v>
      </c>
      <c r="B40" t="s">
        <v>177</v>
      </c>
      <c r="C40" t="s">
        <v>255</v>
      </c>
      <c r="E40" t="s">
        <v>114</v>
      </c>
      <c r="F40" t="s">
        <v>98</v>
      </c>
      <c r="G40" t="s">
        <v>24</v>
      </c>
      <c r="H40">
        <v>47.5165278569471</v>
      </c>
      <c r="I40">
        <v>8.0255581112228906</v>
      </c>
      <c r="J40" t="s">
        <v>339</v>
      </c>
    </row>
    <row r="41" spans="1:10" x14ac:dyDescent="0.35">
      <c r="A41">
        <v>5</v>
      </c>
      <c r="B41" t="s">
        <v>186</v>
      </c>
      <c r="C41" t="s">
        <v>263</v>
      </c>
      <c r="E41" t="s">
        <v>268</v>
      </c>
      <c r="F41" t="s">
        <v>269</v>
      </c>
      <c r="G41" t="s">
        <v>272</v>
      </c>
      <c r="H41">
        <v>51.6023180801647</v>
      </c>
      <c r="I41">
        <v>-1.1106435158680901</v>
      </c>
      <c r="J41" t="s">
        <v>349</v>
      </c>
    </row>
    <row r="42" spans="1:10" x14ac:dyDescent="0.35">
      <c r="A42">
        <v>5</v>
      </c>
      <c r="B42" t="s">
        <v>172</v>
      </c>
      <c r="C42" t="s">
        <v>256</v>
      </c>
      <c r="E42" t="s">
        <v>277</v>
      </c>
      <c r="F42" t="s">
        <v>270</v>
      </c>
      <c r="G42" t="s">
        <v>89</v>
      </c>
      <c r="H42">
        <v>52.333755681598099</v>
      </c>
      <c r="I42">
        <v>4.8657200235795504</v>
      </c>
      <c r="J42" t="s">
        <v>350</v>
      </c>
    </row>
    <row r="43" spans="1:10" x14ac:dyDescent="0.35">
      <c r="A43">
        <v>5</v>
      </c>
      <c r="B43" t="s">
        <v>187</v>
      </c>
      <c r="C43" t="s">
        <v>257</v>
      </c>
      <c r="E43" t="s">
        <v>275</v>
      </c>
      <c r="F43" t="s">
        <v>276</v>
      </c>
      <c r="G43" t="s">
        <v>273</v>
      </c>
      <c r="H43">
        <v>40.633778434327198</v>
      </c>
      <c r="I43">
        <v>-8.6593167806106006</v>
      </c>
      <c r="J43" t="s">
        <v>351</v>
      </c>
    </row>
    <row r="44" spans="1:10" x14ac:dyDescent="0.35">
      <c r="A44">
        <v>5</v>
      </c>
      <c r="B44" t="s">
        <v>188</v>
      </c>
      <c r="C44" t="s">
        <v>263</v>
      </c>
      <c r="E44" t="s">
        <v>268</v>
      </c>
      <c r="F44" t="s">
        <v>269</v>
      </c>
      <c r="G44" t="s">
        <v>272</v>
      </c>
      <c r="H44">
        <v>51.6023180801647</v>
      </c>
      <c r="I44">
        <v>-1.1106435158680901</v>
      </c>
      <c r="J44" t="s">
        <v>352</v>
      </c>
    </row>
    <row r="45" spans="1:10" x14ac:dyDescent="0.35">
      <c r="A45">
        <v>5</v>
      </c>
      <c r="B45" t="s">
        <v>189</v>
      </c>
      <c r="C45" t="s">
        <v>258</v>
      </c>
      <c r="D45" t="s">
        <v>259</v>
      </c>
      <c r="E45" t="s">
        <v>110</v>
      </c>
      <c r="F45" t="s">
        <v>40</v>
      </c>
      <c r="G45" t="s">
        <v>89</v>
      </c>
      <c r="H45">
        <v>51.986321042420101</v>
      </c>
      <c r="I45">
        <v>5.66802962647985</v>
      </c>
      <c r="J45" t="s">
        <v>353</v>
      </c>
    </row>
    <row r="46" spans="1:10" x14ac:dyDescent="0.35">
      <c r="A46">
        <v>5</v>
      </c>
      <c r="B46" t="s">
        <v>190</v>
      </c>
      <c r="C46" t="s">
        <v>72</v>
      </c>
      <c r="D46" t="s">
        <v>261</v>
      </c>
      <c r="E46" t="s">
        <v>49</v>
      </c>
      <c r="F46" t="s">
        <v>50</v>
      </c>
      <c r="G46" t="s">
        <v>32</v>
      </c>
      <c r="H46">
        <v>47.355384152255603</v>
      </c>
      <c r="I46">
        <v>0.70342542626760896</v>
      </c>
      <c r="J46" t="s">
        <v>354</v>
      </c>
    </row>
    <row r="47" spans="1:10" x14ac:dyDescent="0.35">
      <c r="A47">
        <v>5</v>
      </c>
      <c r="B47" t="s">
        <v>191</v>
      </c>
      <c r="C47" t="s">
        <v>258</v>
      </c>
      <c r="D47" t="s">
        <v>260</v>
      </c>
      <c r="E47" t="s">
        <v>110</v>
      </c>
      <c r="F47" t="s">
        <v>40</v>
      </c>
      <c r="G47" t="s">
        <v>89</v>
      </c>
      <c r="H47">
        <v>51.986321042420101</v>
      </c>
      <c r="I47">
        <v>5.66802962647985</v>
      </c>
      <c r="J47" t="s">
        <v>355</v>
      </c>
    </row>
    <row r="48" spans="1:10" x14ac:dyDescent="0.35">
      <c r="A48">
        <v>5</v>
      </c>
      <c r="B48" t="s">
        <v>192</v>
      </c>
      <c r="C48" t="s">
        <v>262</v>
      </c>
      <c r="D48" t="s">
        <v>264</v>
      </c>
      <c r="E48" t="s">
        <v>278</v>
      </c>
      <c r="F48" t="s">
        <v>271</v>
      </c>
      <c r="G48" t="s">
        <v>272</v>
      </c>
      <c r="H48">
        <v>50.736885651002801</v>
      </c>
      <c r="I48">
        <v>-3.53466898759851</v>
      </c>
      <c r="J48" t="s">
        <v>356</v>
      </c>
    </row>
    <row r="49" spans="1:10" x14ac:dyDescent="0.35">
      <c r="A49">
        <v>5</v>
      </c>
      <c r="B49" t="s">
        <v>193</v>
      </c>
      <c r="C49" t="s">
        <v>262</v>
      </c>
      <c r="D49" t="s">
        <v>264</v>
      </c>
      <c r="E49" t="s">
        <v>278</v>
      </c>
      <c r="F49" t="s">
        <v>271</v>
      </c>
      <c r="G49" t="s">
        <v>272</v>
      </c>
      <c r="H49">
        <v>50.736885651002801</v>
      </c>
      <c r="I49">
        <v>-3.53466898759851</v>
      </c>
      <c r="J49" t="s">
        <v>357</v>
      </c>
    </row>
    <row r="50" spans="1:10" x14ac:dyDescent="0.35">
      <c r="A50">
        <v>5</v>
      </c>
      <c r="B50" t="s">
        <v>194</v>
      </c>
      <c r="C50" t="s">
        <v>259</v>
      </c>
      <c r="D50" t="s">
        <v>265</v>
      </c>
      <c r="E50" t="s">
        <v>280</v>
      </c>
      <c r="F50" t="s">
        <v>47</v>
      </c>
      <c r="G50" t="s">
        <v>30</v>
      </c>
      <c r="H50">
        <v>39.5076588266069</v>
      </c>
      <c r="I50">
        <v>-0.42133088673402702</v>
      </c>
      <c r="J50" t="s">
        <v>358</v>
      </c>
    </row>
    <row r="51" spans="1:10" x14ac:dyDescent="0.35">
      <c r="A51">
        <v>5</v>
      </c>
      <c r="B51" t="s">
        <v>195</v>
      </c>
      <c r="C51" t="s">
        <v>263</v>
      </c>
      <c r="D51" t="s">
        <v>264</v>
      </c>
      <c r="E51" t="s">
        <v>268</v>
      </c>
      <c r="F51" t="s">
        <v>269</v>
      </c>
      <c r="G51" t="s">
        <v>272</v>
      </c>
      <c r="H51">
        <v>51.6023180801647</v>
      </c>
      <c r="I51">
        <v>-1.1106435158680901</v>
      </c>
      <c r="J51" t="s">
        <v>359</v>
      </c>
    </row>
    <row r="52" spans="1:10" x14ac:dyDescent="0.35">
      <c r="A52">
        <v>5</v>
      </c>
      <c r="B52" t="s">
        <v>196</v>
      </c>
      <c r="C52" t="s">
        <v>258</v>
      </c>
      <c r="D52" t="s">
        <v>259</v>
      </c>
      <c r="E52" t="s">
        <v>110</v>
      </c>
      <c r="F52" t="s">
        <v>40</v>
      </c>
      <c r="G52" t="s">
        <v>89</v>
      </c>
      <c r="H52">
        <v>51.986321042420101</v>
      </c>
      <c r="I52">
        <v>5.66802962647985</v>
      </c>
      <c r="J52" t="s">
        <v>360</v>
      </c>
    </row>
    <row r="53" spans="1:10" x14ac:dyDescent="0.35">
      <c r="A53">
        <v>5</v>
      </c>
      <c r="B53" t="s">
        <v>197</v>
      </c>
      <c r="C53" t="s">
        <v>259</v>
      </c>
      <c r="D53" t="s">
        <v>260</v>
      </c>
      <c r="E53" t="s">
        <v>280</v>
      </c>
      <c r="F53" t="s">
        <v>47</v>
      </c>
      <c r="G53" t="s">
        <v>30</v>
      </c>
      <c r="H53">
        <v>39.5076588266069</v>
      </c>
      <c r="I53">
        <v>-0.42133088673402702</v>
      </c>
      <c r="J53" t="s">
        <v>361</v>
      </c>
    </row>
    <row r="54" spans="1:10" x14ac:dyDescent="0.35">
      <c r="A54">
        <v>5</v>
      </c>
      <c r="B54" t="s">
        <v>198</v>
      </c>
      <c r="C54" t="s">
        <v>258</v>
      </c>
      <c r="D54" t="s">
        <v>261</v>
      </c>
      <c r="E54" t="s">
        <v>110</v>
      </c>
      <c r="F54" t="s">
        <v>40</v>
      </c>
      <c r="G54" t="s">
        <v>89</v>
      </c>
      <c r="H54">
        <v>51.986321042420101</v>
      </c>
      <c r="I54">
        <v>5.66802962647985</v>
      </c>
      <c r="J54" t="s">
        <v>362</v>
      </c>
    </row>
    <row r="55" spans="1:10" x14ac:dyDescent="0.35">
      <c r="A55">
        <v>5</v>
      </c>
      <c r="B55" t="s">
        <v>199</v>
      </c>
      <c r="C55" t="s">
        <v>257</v>
      </c>
      <c r="E55" t="s">
        <v>275</v>
      </c>
      <c r="F55" t="s">
        <v>276</v>
      </c>
      <c r="G55" t="s">
        <v>273</v>
      </c>
      <c r="H55">
        <v>40.633778434327198</v>
      </c>
      <c r="I55">
        <v>-8.6593167806106006</v>
      </c>
      <c r="J55" t="s">
        <v>495</v>
      </c>
    </row>
    <row r="56" spans="1:10" x14ac:dyDescent="0.35">
      <c r="A56">
        <v>5</v>
      </c>
      <c r="B56" t="s">
        <v>200</v>
      </c>
      <c r="C56" t="s">
        <v>257</v>
      </c>
      <c r="E56" t="s">
        <v>275</v>
      </c>
      <c r="F56" t="s">
        <v>276</v>
      </c>
      <c r="G56" t="s">
        <v>273</v>
      </c>
      <c r="H56">
        <v>40.633778434327198</v>
      </c>
      <c r="I56">
        <v>-8.6593167806106006</v>
      </c>
      <c r="J56" t="s">
        <v>494</v>
      </c>
    </row>
    <row r="57" spans="1:10" x14ac:dyDescent="0.35">
      <c r="A57">
        <v>5</v>
      </c>
      <c r="B57" t="s">
        <v>201</v>
      </c>
      <c r="C57" t="s">
        <v>261</v>
      </c>
      <c r="D57" t="s">
        <v>266</v>
      </c>
      <c r="E57" t="s">
        <v>278</v>
      </c>
      <c r="F57" t="s">
        <v>281</v>
      </c>
      <c r="G57" t="s">
        <v>272</v>
      </c>
      <c r="H57">
        <v>50.1709492732614</v>
      </c>
      <c r="I57">
        <v>-5.12797037352746</v>
      </c>
      <c r="J57" t="s">
        <v>363</v>
      </c>
    </row>
    <row r="58" spans="1:10" x14ac:dyDescent="0.35">
      <c r="A58">
        <v>5</v>
      </c>
      <c r="B58" t="s">
        <v>202</v>
      </c>
      <c r="C58" t="s">
        <v>266</v>
      </c>
      <c r="D58" t="s">
        <v>267</v>
      </c>
      <c r="E58" t="s">
        <v>110</v>
      </c>
      <c r="F58" t="s">
        <v>40</v>
      </c>
      <c r="G58" t="s">
        <v>89</v>
      </c>
      <c r="H58">
        <v>51.986334257116397</v>
      </c>
      <c r="I58">
        <v>5.6680081688096902</v>
      </c>
      <c r="J58" t="s">
        <v>364</v>
      </c>
    </row>
    <row r="59" spans="1:10" x14ac:dyDescent="0.35">
      <c r="A59">
        <v>5</v>
      </c>
      <c r="B59" t="s">
        <v>203</v>
      </c>
      <c r="C59" t="s">
        <v>263</v>
      </c>
      <c r="D59" t="s">
        <v>264</v>
      </c>
      <c r="E59" t="s">
        <v>268</v>
      </c>
      <c r="F59" t="s">
        <v>269</v>
      </c>
      <c r="G59" t="s">
        <v>272</v>
      </c>
      <c r="H59">
        <v>51.6023180801647</v>
      </c>
      <c r="I59">
        <v>-1.1106435158680901</v>
      </c>
      <c r="J59" t="s">
        <v>365</v>
      </c>
    </row>
    <row r="60" spans="1:10" x14ac:dyDescent="0.35">
      <c r="A60">
        <v>5</v>
      </c>
      <c r="B60" t="s">
        <v>204</v>
      </c>
      <c r="C60" t="s">
        <v>258</v>
      </c>
      <c r="D60" t="s">
        <v>264</v>
      </c>
      <c r="E60" t="s">
        <v>110</v>
      </c>
      <c r="F60" t="s">
        <v>40</v>
      </c>
      <c r="G60" t="s">
        <v>89</v>
      </c>
      <c r="H60">
        <v>51.986321042420101</v>
      </c>
      <c r="I60">
        <v>5.66802962647985</v>
      </c>
      <c r="J60" t="s">
        <v>496</v>
      </c>
    </row>
    <row r="61" spans="1:10" x14ac:dyDescent="0.35">
      <c r="A61">
        <v>5</v>
      </c>
      <c r="B61" t="s">
        <v>205</v>
      </c>
      <c r="C61" t="s">
        <v>264</v>
      </c>
      <c r="D61" t="s">
        <v>267</v>
      </c>
      <c r="E61" t="s">
        <v>282</v>
      </c>
      <c r="F61" t="s">
        <v>279</v>
      </c>
      <c r="G61" t="s">
        <v>274</v>
      </c>
      <c r="H61">
        <v>55.683616997457598</v>
      </c>
      <c r="I61">
        <v>12.5446980519812</v>
      </c>
      <c r="J61" t="s">
        <v>366</v>
      </c>
    </row>
    <row r="62" spans="1:10" x14ac:dyDescent="0.35">
      <c r="A62">
        <v>5</v>
      </c>
      <c r="B62" t="s">
        <v>206</v>
      </c>
      <c r="C62" t="s">
        <v>263</v>
      </c>
      <c r="E62" t="s">
        <v>268</v>
      </c>
      <c r="F62" t="s">
        <v>269</v>
      </c>
      <c r="G62" t="s">
        <v>272</v>
      </c>
      <c r="H62">
        <v>51.6023180801647</v>
      </c>
      <c r="I62">
        <v>-1.1106435158680901</v>
      </c>
      <c r="J62" t="s">
        <v>367</v>
      </c>
    </row>
    <row r="63" spans="1:10" x14ac:dyDescent="0.35">
      <c r="A63">
        <v>6</v>
      </c>
      <c r="B63" s="1" t="s">
        <v>163</v>
      </c>
      <c r="C63" s="1" t="s">
        <v>313</v>
      </c>
      <c r="E63" t="s">
        <v>140</v>
      </c>
      <c r="F63" t="s">
        <v>312</v>
      </c>
      <c r="G63" t="s">
        <v>142</v>
      </c>
      <c r="H63">
        <v>55.6598844564327</v>
      </c>
      <c r="I63">
        <v>13.0758769065196</v>
      </c>
      <c r="J63" t="s">
        <v>322</v>
      </c>
    </row>
    <row r="64" spans="1:10" x14ac:dyDescent="0.35">
      <c r="A64">
        <v>6</v>
      </c>
      <c r="B64" t="s">
        <v>171</v>
      </c>
      <c r="C64" t="s">
        <v>316</v>
      </c>
      <c r="E64" t="s">
        <v>314</v>
      </c>
      <c r="F64" t="s">
        <v>315</v>
      </c>
      <c r="G64" t="s">
        <v>30</v>
      </c>
      <c r="H64">
        <v>42.167199501908101</v>
      </c>
      <c r="I64">
        <v>-8.6840565629510902</v>
      </c>
      <c r="J64" t="s">
        <v>323</v>
      </c>
    </row>
    <row r="65" spans="1:10" x14ac:dyDescent="0.35">
      <c r="A65">
        <v>6</v>
      </c>
      <c r="B65" t="s">
        <v>207</v>
      </c>
      <c r="C65" t="s">
        <v>285</v>
      </c>
      <c r="E65" t="s">
        <v>37</v>
      </c>
      <c r="F65" t="s">
        <v>36</v>
      </c>
      <c r="G65" t="s">
        <v>29</v>
      </c>
      <c r="H65">
        <v>47.264925859039899</v>
      </c>
      <c r="I65">
        <v>11.342090963931099</v>
      </c>
      <c r="J65" t="s">
        <v>324</v>
      </c>
    </row>
    <row r="66" spans="1:10" x14ac:dyDescent="0.35">
      <c r="A66">
        <v>6</v>
      </c>
      <c r="B66" t="s">
        <v>208</v>
      </c>
      <c r="C66" t="s">
        <v>334</v>
      </c>
      <c r="E66" t="s">
        <v>97</v>
      </c>
      <c r="F66" t="s">
        <v>116</v>
      </c>
      <c r="G66" t="s">
        <v>27</v>
      </c>
      <c r="H66">
        <v>50.901688931880003</v>
      </c>
      <c r="I66">
        <v>3.1244129975938102</v>
      </c>
      <c r="J66" t="s">
        <v>325</v>
      </c>
    </row>
    <row r="67" spans="1:10" x14ac:dyDescent="0.35">
      <c r="A67">
        <v>6</v>
      </c>
      <c r="B67" t="s">
        <v>174</v>
      </c>
      <c r="C67" t="s">
        <v>317</v>
      </c>
      <c r="E67" t="s">
        <v>43</v>
      </c>
      <c r="F67" t="s">
        <v>44</v>
      </c>
      <c r="G67" t="s">
        <v>26</v>
      </c>
      <c r="H67">
        <v>52.458026759456096</v>
      </c>
      <c r="I67">
        <v>13.3017890536159</v>
      </c>
      <c r="J67" t="s">
        <v>326</v>
      </c>
    </row>
    <row r="68" spans="1:10" x14ac:dyDescent="0.35">
      <c r="A68">
        <v>6</v>
      </c>
      <c r="B68" t="s">
        <v>209</v>
      </c>
      <c r="C68" t="s">
        <v>317</v>
      </c>
      <c r="E68" t="s">
        <v>43</v>
      </c>
      <c r="F68" t="s">
        <v>44</v>
      </c>
      <c r="G68" t="s">
        <v>26</v>
      </c>
      <c r="H68">
        <v>52.458026759456096</v>
      </c>
      <c r="I68">
        <v>13.3017890536159</v>
      </c>
      <c r="J68" t="s">
        <v>327</v>
      </c>
    </row>
    <row r="69" spans="1:10" x14ac:dyDescent="0.35">
      <c r="A69">
        <v>6</v>
      </c>
      <c r="B69" t="s">
        <v>210</v>
      </c>
      <c r="C69" t="s">
        <v>318</v>
      </c>
      <c r="E69" t="s">
        <v>43</v>
      </c>
      <c r="F69" t="s">
        <v>44</v>
      </c>
      <c r="G69" t="s">
        <v>26</v>
      </c>
      <c r="H69">
        <v>52.458026759456096</v>
      </c>
      <c r="I69">
        <v>13.3017890536159</v>
      </c>
      <c r="J69" t="s">
        <v>328</v>
      </c>
    </row>
    <row r="70" spans="1:10" x14ac:dyDescent="0.35">
      <c r="A70">
        <v>6</v>
      </c>
      <c r="B70" t="s">
        <v>211</v>
      </c>
      <c r="C70" t="s">
        <v>321</v>
      </c>
      <c r="E70" t="s">
        <v>319</v>
      </c>
      <c r="F70" t="s">
        <v>320</v>
      </c>
      <c r="G70" t="s">
        <v>26</v>
      </c>
      <c r="H70">
        <v>49.984370426896199</v>
      </c>
      <c r="I70">
        <v>7.9613930427179396</v>
      </c>
      <c r="J70" t="s">
        <v>329</v>
      </c>
    </row>
    <row r="71" spans="1:10" x14ac:dyDescent="0.35">
      <c r="A71">
        <v>6</v>
      </c>
      <c r="B71" t="s">
        <v>161</v>
      </c>
      <c r="C71" t="s">
        <v>69</v>
      </c>
      <c r="E71" t="s">
        <v>37</v>
      </c>
      <c r="F71" t="s">
        <v>36</v>
      </c>
      <c r="G71" t="s">
        <v>29</v>
      </c>
      <c r="H71">
        <v>47.264327448622801</v>
      </c>
      <c r="I71">
        <v>11.342513280116099</v>
      </c>
      <c r="J71" t="s">
        <v>330</v>
      </c>
    </row>
    <row r="72" spans="1:10" x14ac:dyDescent="0.35">
      <c r="A72">
        <v>7</v>
      </c>
      <c r="B72" t="s">
        <v>158</v>
      </c>
      <c r="C72" t="s">
        <v>398</v>
      </c>
      <c r="E72" t="s">
        <v>399</v>
      </c>
      <c r="F72" t="s">
        <v>395</v>
      </c>
      <c r="G72" t="s">
        <v>396</v>
      </c>
      <c r="H72">
        <v>46.776582771125803</v>
      </c>
      <c r="I72">
        <v>-71.276988173455095</v>
      </c>
      <c r="J72" t="s">
        <v>405</v>
      </c>
    </row>
    <row r="73" spans="1:10" x14ac:dyDescent="0.35">
      <c r="A73">
        <v>7</v>
      </c>
      <c r="B73" t="s">
        <v>159</v>
      </c>
      <c r="C73" t="s">
        <v>397</v>
      </c>
      <c r="D73" t="s">
        <v>402</v>
      </c>
      <c r="E73" t="s">
        <v>400</v>
      </c>
      <c r="F73" t="s">
        <v>401</v>
      </c>
      <c r="G73" t="s">
        <v>26</v>
      </c>
      <c r="H73">
        <v>50.570561329085002</v>
      </c>
      <c r="I73">
        <v>8.6755667843876694</v>
      </c>
      <c r="J73" t="s">
        <v>404</v>
      </c>
    </row>
    <row r="74" spans="1:10" x14ac:dyDescent="0.35">
      <c r="A74">
        <v>7</v>
      </c>
      <c r="B74" t="s">
        <v>160</v>
      </c>
      <c r="C74" t="s">
        <v>73</v>
      </c>
      <c r="E74" t="s">
        <v>92</v>
      </c>
      <c r="F74" t="s">
        <v>99</v>
      </c>
      <c r="G74" t="s">
        <v>31</v>
      </c>
      <c r="H74">
        <v>45.4764358909283</v>
      </c>
      <c r="I74">
        <v>9.2339481921137203</v>
      </c>
      <c r="J74" t="s">
        <v>368</v>
      </c>
    </row>
    <row r="75" spans="1:10" x14ac:dyDescent="0.35">
      <c r="A75">
        <v>7</v>
      </c>
      <c r="B75" t="s">
        <v>161</v>
      </c>
      <c r="C75" t="s">
        <v>69</v>
      </c>
      <c r="E75" t="s">
        <v>37</v>
      </c>
      <c r="F75" t="s">
        <v>36</v>
      </c>
      <c r="G75" t="s">
        <v>29</v>
      </c>
      <c r="H75">
        <v>47.264327448622801</v>
      </c>
      <c r="I75">
        <v>11.342513280116099</v>
      </c>
      <c r="J75" t="s">
        <v>330</v>
      </c>
    </row>
    <row r="76" spans="1:10" x14ac:dyDescent="0.35">
      <c r="A76">
        <v>7</v>
      </c>
      <c r="B76" t="s">
        <v>162</v>
      </c>
      <c r="C76" t="s">
        <v>403</v>
      </c>
      <c r="E76" t="s">
        <v>155</v>
      </c>
      <c r="F76" t="s">
        <v>145</v>
      </c>
      <c r="G76" t="s">
        <v>27</v>
      </c>
      <c r="H76">
        <v>51.159985571618499</v>
      </c>
      <c r="I76">
        <v>4.9610030976058503</v>
      </c>
      <c r="J76" t="s">
        <v>406</v>
      </c>
    </row>
    <row r="77" spans="1:10" x14ac:dyDescent="0.35">
      <c r="A77">
        <v>8</v>
      </c>
      <c r="B77" t="s">
        <v>212</v>
      </c>
      <c r="C77" t="s">
        <v>71</v>
      </c>
      <c r="E77" t="s">
        <v>91</v>
      </c>
      <c r="F77" t="s">
        <v>41</v>
      </c>
      <c r="G77" t="s">
        <v>31</v>
      </c>
      <c r="H77">
        <v>45.796378521113802</v>
      </c>
      <c r="I77">
        <v>8.8486790473029</v>
      </c>
      <c r="J77" t="s">
        <v>407</v>
      </c>
    </row>
    <row r="78" spans="1:10" x14ac:dyDescent="0.35">
      <c r="A78">
        <v>8</v>
      </c>
      <c r="B78" t="s">
        <v>213</v>
      </c>
      <c r="C78" t="s">
        <v>72</v>
      </c>
      <c r="E78" t="s">
        <v>49</v>
      </c>
      <c r="F78" t="s">
        <v>50</v>
      </c>
      <c r="G78" t="s">
        <v>32</v>
      </c>
      <c r="H78">
        <v>47.355384152255603</v>
      </c>
      <c r="I78">
        <v>0.70342542626760896</v>
      </c>
      <c r="J78" s="3" t="s">
        <v>497</v>
      </c>
    </row>
    <row r="79" spans="1:10" x14ac:dyDescent="0.35">
      <c r="A79">
        <v>8</v>
      </c>
      <c r="B79" t="s">
        <v>214</v>
      </c>
      <c r="C79" t="s">
        <v>73</v>
      </c>
      <c r="E79" t="s">
        <v>92</v>
      </c>
      <c r="F79" t="s">
        <v>99</v>
      </c>
      <c r="G79" t="s">
        <v>31</v>
      </c>
      <c r="H79">
        <v>45.4764358909283</v>
      </c>
      <c r="I79">
        <v>9.2339481921137203</v>
      </c>
      <c r="J79" t="s">
        <v>408</v>
      </c>
    </row>
    <row r="80" spans="1:10" x14ac:dyDescent="0.35">
      <c r="A80">
        <v>8</v>
      </c>
      <c r="B80" t="s">
        <v>215</v>
      </c>
      <c r="C80" t="s">
        <v>74</v>
      </c>
      <c r="E80" t="s">
        <v>103</v>
      </c>
      <c r="F80" t="s">
        <v>95</v>
      </c>
      <c r="G80" t="s">
        <v>24</v>
      </c>
      <c r="H80">
        <v>47.378079268002502</v>
      </c>
      <c r="I80">
        <v>8.5441549372419008</v>
      </c>
      <c r="J80" t="s">
        <v>372</v>
      </c>
    </row>
    <row r="81" spans="1:10" x14ac:dyDescent="0.35">
      <c r="A81">
        <v>8</v>
      </c>
      <c r="B81" t="s">
        <v>216</v>
      </c>
      <c r="C81" t="s">
        <v>71</v>
      </c>
      <c r="E81" t="s">
        <v>91</v>
      </c>
      <c r="F81" t="s">
        <v>41</v>
      </c>
      <c r="G81" t="s">
        <v>31</v>
      </c>
      <c r="H81">
        <v>45.796378521113802</v>
      </c>
      <c r="I81">
        <v>8.8486790473029</v>
      </c>
      <c r="J81" t="s">
        <v>411</v>
      </c>
    </row>
    <row r="82" spans="1:10" x14ac:dyDescent="0.35">
      <c r="A82">
        <v>8</v>
      </c>
      <c r="B82" t="s">
        <v>217</v>
      </c>
      <c r="C82" t="s">
        <v>73</v>
      </c>
      <c r="E82" t="s">
        <v>92</v>
      </c>
      <c r="F82" t="s">
        <v>99</v>
      </c>
      <c r="G82" t="s">
        <v>31</v>
      </c>
      <c r="H82">
        <v>45.4764358909283</v>
      </c>
      <c r="I82">
        <v>9.2339481921137203</v>
      </c>
      <c r="J82" t="s">
        <v>499</v>
      </c>
    </row>
    <row r="83" spans="1:10" x14ac:dyDescent="0.35">
      <c r="A83">
        <v>8</v>
      </c>
      <c r="B83" t="s">
        <v>218</v>
      </c>
      <c r="C83" t="s">
        <v>73</v>
      </c>
      <c r="E83" t="s">
        <v>92</v>
      </c>
      <c r="F83" t="s">
        <v>99</v>
      </c>
      <c r="G83" t="s">
        <v>31</v>
      </c>
      <c r="H83">
        <v>45.4764358909283</v>
      </c>
      <c r="I83">
        <v>9.2339481921137203</v>
      </c>
      <c r="J83" s="3" t="s">
        <v>498</v>
      </c>
    </row>
    <row r="84" spans="1:10" x14ac:dyDescent="0.35">
      <c r="A84">
        <v>8</v>
      </c>
      <c r="B84" t="s">
        <v>219</v>
      </c>
      <c r="C84" t="s">
        <v>71</v>
      </c>
      <c r="E84" t="s">
        <v>91</v>
      </c>
      <c r="F84" t="s">
        <v>41</v>
      </c>
      <c r="G84" t="s">
        <v>31</v>
      </c>
      <c r="H84">
        <v>45.796378521113802</v>
      </c>
      <c r="I84">
        <v>8.8486790473029</v>
      </c>
      <c r="J84" t="s">
        <v>412</v>
      </c>
    </row>
    <row r="85" spans="1:10" x14ac:dyDescent="0.35">
      <c r="A85">
        <v>8</v>
      </c>
      <c r="B85" t="s">
        <v>220</v>
      </c>
      <c r="C85" t="s">
        <v>287</v>
      </c>
      <c r="E85" t="s">
        <v>93</v>
      </c>
      <c r="F85" t="s">
        <v>105</v>
      </c>
      <c r="G85" t="s">
        <v>32</v>
      </c>
      <c r="H85">
        <v>43.564217652545203</v>
      </c>
      <c r="I85">
        <v>1.5242952647465</v>
      </c>
      <c r="J85" t="s">
        <v>373</v>
      </c>
    </row>
    <row r="86" spans="1:10" x14ac:dyDescent="0.35">
      <c r="A86">
        <v>8</v>
      </c>
      <c r="B86" t="s">
        <v>221</v>
      </c>
      <c r="C86" t="s">
        <v>75</v>
      </c>
      <c r="E86" t="s">
        <v>104</v>
      </c>
      <c r="F86" t="s">
        <v>100</v>
      </c>
      <c r="G86" t="s">
        <v>31</v>
      </c>
      <c r="H86">
        <v>43.115295111862203</v>
      </c>
      <c r="I86">
        <v>12.3870242893354</v>
      </c>
      <c r="J86" t="s">
        <v>413</v>
      </c>
    </row>
    <row r="87" spans="1:10" x14ac:dyDescent="0.35">
      <c r="A87">
        <v>8</v>
      </c>
      <c r="B87" t="s">
        <v>222</v>
      </c>
      <c r="C87" t="s">
        <v>72</v>
      </c>
      <c r="E87" t="s">
        <v>49</v>
      </c>
      <c r="F87" t="s">
        <v>50</v>
      </c>
      <c r="G87" t="s">
        <v>32</v>
      </c>
      <c r="H87">
        <v>47.355384152255603</v>
      </c>
      <c r="I87">
        <v>0.70342542626760896</v>
      </c>
      <c r="J87" t="s">
        <v>414</v>
      </c>
    </row>
    <row r="88" spans="1:10" x14ac:dyDescent="0.35">
      <c r="A88">
        <v>8</v>
      </c>
      <c r="B88" t="s">
        <v>223</v>
      </c>
      <c r="C88" t="s">
        <v>76</v>
      </c>
      <c r="D88" t="s">
        <v>77</v>
      </c>
      <c r="E88" t="s">
        <v>106</v>
      </c>
      <c r="F88" t="s">
        <v>107</v>
      </c>
      <c r="G88" t="s">
        <v>96</v>
      </c>
      <c r="H88">
        <v>33.195792451319697</v>
      </c>
      <c r="I88">
        <v>35.575710739213001</v>
      </c>
      <c r="J88" t="s">
        <v>500</v>
      </c>
    </row>
    <row r="89" spans="1:10" x14ac:dyDescent="0.35">
      <c r="A89">
        <v>8</v>
      </c>
      <c r="B89" t="s">
        <v>160</v>
      </c>
      <c r="C89" t="s">
        <v>73</v>
      </c>
      <c r="E89" t="s">
        <v>92</v>
      </c>
      <c r="F89" t="s">
        <v>99</v>
      </c>
      <c r="G89" t="s">
        <v>31</v>
      </c>
      <c r="H89">
        <v>45.4764358909283</v>
      </c>
      <c r="I89">
        <v>9.2339481921137203</v>
      </c>
      <c r="J89" t="s">
        <v>368</v>
      </c>
    </row>
    <row r="90" spans="1:10" x14ac:dyDescent="0.35">
      <c r="A90">
        <v>8</v>
      </c>
      <c r="B90" t="s">
        <v>224</v>
      </c>
      <c r="C90" t="s">
        <v>73</v>
      </c>
      <c r="D90" t="s">
        <v>78</v>
      </c>
      <c r="E90" t="s">
        <v>108</v>
      </c>
      <c r="F90" t="s">
        <v>109</v>
      </c>
      <c r="G90" t="s">
        <v>31</v>
      </c>
      <c r="H90">
        <v>45.4764358909283</v>
      </c>
      <c r="I90">
        <v>9.2339481921137203</v>
      </c>
      <c r="J90" t="s">
        <v>369</v>
      </c>
    </row>
    <row r="91" spans="1:10" x14ac:dyDescent="0.35">
      <c r="A91">
        <v>8</v>
      </c>
      <c r="B91" t="s">
        <v>225</v>
      </c>
      <c r="C91" t="s">
        <v>71</v>
      </c>
      <c r="D91" t="s">
        <v>78</v>
      </c>
      <c r="E91" t="s">
        <v>108</v>
      </c>
      <c r="F91" t="s">
        <v>109</v>
      </c>
      <c r="G91" t="s">
        <v>31</v>
      </c>
      <c r="H91">
        <v>45.796378521113802</v>
      </c>
      <c r="I91">
        <v>8.8486790473029</v>
      </c>
      <c r="J91" t="s">
        <v>370</v>
      </c>
    </row>
    <row r="92" spans="1:10" x14ac:dyDescent="0.35">
      <c r="A92">
        <v>9</v>
      </c>
      <c r="B92" s="1" t="s">
        <v>66</v>
      </c>
      <c r="C92" t="s">
        <v>79</v>
      </c>
      <c r="E92" t="s">
        <v>110</v>
      </c>
      <c r="F92" t="s">
        <v>40</v>
      </c>
      <c r="G92" t="s">
        <v>89</v>
      </c>
      <c r="H92">
        <v>51.986334185068898</v>
      </c>
      <c r="I92">
        <v>5.6680296141793498</v>
      </c>
      <c r="J92" t="s">
        <v>371</v>
      </c>
    </row>
    <row r="93" spans="1:10" x14ac:dyDescent="0.35">
      <c r="A93">
        <v>9</v>
      </c>
      <c r="B93" t="s">
        <v>215</v>
      </c>
      <c r="C93" t="s">
        <v>80</v>
      </c>
      <c r="E93" t="s">
        <v>103</v>
      </c>
      <c r="F93" t="s">
        <v>95</v>
      </c>
      <c r="G93" t="s">
        <v>24</v>
      </c>
      <c r="H93">
        <v>47.378082314375803</v>
      </c>
      <c r="I93">
        <v>8.5441515169965392</v>
      </c>
      <c r="J93" t="s">
        <v>372</v>
      </c>
    </row>
    <row r="94" spans="1:10" x14ac:dyDescent="0.35">
      <c r="A94">
        <v>9</v>
      </c>
      <c r="B94" t="s">
        <v>226</v>
      </c>
      <c r="C94" t="s">
        <v>79</v>
      </c>
      <c r="E94" t="s">
        <v>110</v>
      </c>
      <c r="F94" t="s">
        <v>40</v>
      </c>
      <c r="G94" t="s">
        <v>89</v>
      </c>
      <c r="H94">
        <v>51.986334185068898</v>
      </c>
      <c r="I94">
        <v>5.6680296141793498</v>
      </c>
      <c r="J94" t="s">
        <v>410</v>
      </c>
    </row>
    <row r="95" spans="1:10" x14ac:dyDescent="0.35">
      <c r="A95">
        <v>9</v>
      </c>
      <c r="B95" t="s">
        <v>220</v>
      </c>
      <c r="C95" t="s">
        <v>81</v>
      </c>
      <c r="E95" t="s">
        <v>93</v>
      </c>
      <c r="F95" t="s">
        <v>105</v>
      </c>
      <c r="G95" t="s">
        <v>32</v>
      </c>
      <c r="H95">
        <v>43.564220208440801</v>
      </c>
      <c r="I95">
        <v>1.5242988815479801</v>
      </c>
      <c r="J95" s="3" t="s">
        <v>373</v>
      </c>
    </row>
    <row r="96" spans="1:10" x14ac:dyDescent="0.35">
      <c r="A96">
        <v>9</v>
      </c>
      <c r="B96" t="s">
        <v>227</v>
      </c>
      <c r="C96" t="s">
        <v>137</v>
      </c>
      <c r="E96" t="s">
        <v>45</v>
      </c>
      <c r="F96" t="s">
        <v>46</v>
      </c>
      <c r="G96" t="s">
        <v>25</v>
      </c>
      <c r="H96">
        <v>38.612410505095603</v>
      </c>
      <c r="I96">
        <v>21.415228454744302</v>
      </c>
      <c r="J96" t="s">
        <v>343</v>
      </c>
    </row>
    <row r="97" spans="1:10" x14ac:dyDescent="0.35">
      <c r="A97">
        <v>9</v>
      </c>
      <c r="B97" t="s">
        <v>180</v>
      </c>
      <c r="C97" t="s">
        <v>82</v>
      </c>
      <c r="E97" t="s">
        <v>110</v>
      </c>
      <c r="F97" t="s">
        <v>40</v>
      </c>
      <c r="G97" t="s">
        <v>89</v>
      </c>
      <c r="H97">
        <v>51.983874071808501</v>
      </c>
      <c r="I97">
        <v>5.6589433976446699</v>
      </c>
      <c r="J97" t="s">
        <v>344</v>
      </c>
    </row>
    <row r="98" spans="1:10" x14ac:dyDescent="0.35">
      <c r="A98">
        <v>9</v>
      </c>
      <c r="B98" t="s">
        <v>177</v>
      </c>
      <c r="C98" t="s">
        <v>255</v>
      </c>
      <c r="E98" t="s">
        <v>114</v>
      </c>
      <c r="F98" t="s">
        <v>98</v>
      </c>
      <c r="G98" t="s">
        <v>24</v>
      </c>
      <c r="H98">
        <v>47.5165278569471</v>
      </c>
      <c r="I98">
        <v>8.0255581112228906</v>
      </c>
      <c r="J98" t="s">
        <v>339</v>
      </c>
    </row>
    <row r="99" spans="1:10" x14ac:dyDescent="0.35">
      <c r="A99">
        <v>9</v>
      </c>
      <c r="B99" t="s">
        <v>228</v>
      </c>
      <c r="C99" s="1" t="s">
        <v>242</v>
      </c>
      <c r="E99" t="s">
        <v>111</v>
      </c>
      <c r="F99" t="s">
        <v>249</v>
      </c>
      <c r="G99" t="s">
        <v>31</v>
      </c>
      <c r="H99">
        <v>45.066495400312498</v>
      </c>
      <c r="I99">
        <v>7.58964341545685</v>
      </c>
      <c r="J99" t="s">
        <v>374</v>
      </c>
    </row>
    <row r="100" spans="1:10" x14ac:dyDescent="0.35">
      <c r="A100">
        <v>9</v>
      </c>
      <c r="B100" t="s">
        <v>229</v>
      </c>
      <c r="C100" t="s">
        <v>134</v>
      </c>
      <c r="E100" t="s">
        <v>112</v>
      </c>
      <c r="F100" t="s">
        <v>135</v>
      </c>
      <c r="G100" t="s">
        <v>25</v>
      </c>
      <c r="H100">
        <v>39.387933871504998</v>
      </c>
      <c r="I100">
        <v>22.9405089971035</v>
      </c>
      <c r="J100" t="s">
        <v>341</v>
      </c>
    </row>
    <row r="101" spans="1:10" x14ac:dyDescent="0.35">
      <c r="A101">
        <v>9</v>
      </c>
      <c r="B101" t="s">
        <v>183</v>
      </c>
      <c r="C101" t="s">
        <v>136</v>
      </c>
      <c r="E101" t="s">
        <v>94</v>
      </c>
      <c r="F101" t="s">
        <v>47</v>
      </c>
      <c r="G101" t="s">
        <v>30</v>
      </c>
      <c r="H101">
        <v>39.481962550494103</v>
      </c>
      <c r="I101">
        <v>-0.33822661346496702</v>
      </c>
      <c r="J101" t="s">
        <v>345</v>
      </c>
    </row>
    <row r="102" spans="1:10" x14ac:dyDescent="0.35">
      <c r="A102">
        <v>9</v>
      </c>
      <c r="B102" t="s">
        <v>175</v>
      </c>
      <c r="C102" t="s">
        <v>136</v>
      </c>
      <c r="E102" t="s">
        <v>94</v>
      </c>
      <c r="F102" t="s">
        <v>47</v>
      </c>
      <c r="G102" t="s">
        <v>30</v>
      </c>
      <c r="H102">
        <v>39.481962550494103</v>
      </c>
      <c r="I102">
        <v>-0.33822661346496702</v>
      </c>
      <c r="J102" t="s">
        <v>337</v>
      </c>
    </row>
    <row r="103" spans="1:10" x14ac:dyDescent="0.35">
      <c r="A103">
        <v>9</v>
      </c>
      <c r="B103" t="s">
        <v>230</v>
      </c>
      <c r="C103" t="s">
        <v>138</v>
      </c>
      <c r="E103" t="s">
        <v>110</v>
      </c>
      <c r="F103" t="s">
        <v>40</v>
      </c>
      <c r="G103" t="s">
        <v>89</v>
      </c>
      <c r="H103">
        <v>51.986334185068898</v>
      </c>
      <c r="I103">
        <v>5.6680296141793498</v>
      </c>
      <c r="J103" t="s">
        <v>409</v>
      </c>
    </row>
    <row r="104" spans="1:10" x14ac:dyDescent="0.35">
      <c r="A104">
        <v>9</v>
      </c>
      <c r="B104" t="s">
        <v>231</v>
      </c>
      <c r="C104" t="s">
        <v>83</v>
      </c>
      <c r="E104" t="s">
        <v>113</v>
      </c>
      <c r="F104" t="s">
        <v>35</v>
      </c>
      <c r="G104" t="s">
        <v>27</v>
      </c>
      <c r="H104">
        <v>50.939118489382899</v>
      </c>
      <c r="I104">
        <v>3.1195775975955802</v>
      </c>
      <c r="J104" t="s">
        <v>375</v>
      </c>
    </row>
    <row r="105" spans="1:10" x14ac:dyDescent="0.35">
      <c r="A105">
        <v>9</v>
      </c>
      <c r="B105" t="s">
        <v>174</v>
      </c>
      <c r="C105" t="s">
        <v>317</v>
      </c>
      <c r="E105" t="s">
        <v>43</v>
      </c>
      <c r="F105" t="s">
        <v>44</v>
      </c>
      <c r="G105" t="s">
        <v>26</v>
      </c>
      <c r="H105">
        <v>52.458026759456096</v>
      </c>
      <c r="I105">
        <v>13.3017890536159</v>
      </c>
      <c r="J105" t="s">
        <v>326</v>
      </c>
    </row>
    <row r="106" spans="1:10" x14ac:dyDescent="0.35">
      <c r="A106">
        <v>10</v>
      </c>
      <c r="B106" s="1" t="s">
        <v>228</v>
      </c>
      <c r="C106" s="1" t="s">
        <v>242</v>
      </c>
      <c r="E106" t="s">
        <v>111</v>
      </c>
      <c r="F106" t="s">
        <v>249</v>
      </c>
      <c r="G106" t="s">
        <v>31</v>
      </c>
      <c r="H106">
        <v>45.066495400312498</v>
      </c>
      <c r="I106">
        <v>7.58964341545685</v>
      </c>
      <c r="J106" t="s">
        <v>374</v>
      </c>
    </row>
    <row r="107" spans="1:10" x14ac:dyDescent="0.35">
      <c r="A107">
        <v>10</v>
      </c>
      <c r="B107" t="s">
        <v>152</v>
      </c>
      <c r="C107" t="s">
        <v>243</v>
      </c>
      <c r="E107" t="s">
        <v>156</v>
      </c>
      <c r="F107" t="s">
        <v>157</v>
      </c>
      <c r="G107" t="s">
        <v>26</v>
      </c>
      <c r="H107">
        <v>52.438267798237803</v>
      </c>
      <c r="I107">
        <v>13.0125776148264</v>
      </c>
      <c r="J107" t="s">
        <v>376</v>
      </c>
    </row>
    <row r="108" spans="1:10" x14ac:dyDescent="0.35">
      <c r="A108">
        <v>10</v>
      </c>
      <c r="B108" t="s">
        <v>234</v>
      </c>
      <c r="C108" t="s">
        <v>244</v>
      </c>
      <c r="E108" t="s">
        <v>254</v>
      </c>
      <c r="F108" t="s">
        <v>250</v>
      </c>
      <c r="G108" t="s">
        <v>252</v>
      </c>
      <c r="H108">
        <v>42.724137729274403</v>
      </c>
      <c r="I108">
        <v>-84.479665770414002</v>
      </c>
      <c r="J108" t="s">
        <v>377</v>
      </c>
    </row>
    <row r="109" spans="1:10" x14ac:dyDescent="0.35">
      <c r="A109">
        <v>10</v>
      </c>
      <c r="B109" t="s">
        <v>235</v>
      </c>
      <c r="C109" s="1" t="s">
        <v>242</v>
      </c>
      <c r="E109" t="s">
        <v>111</v>
      </c>
      <c r="F109" t="s">
        <v>249</v>
      </c>
      <c r="G109" t="s">
        <v>31</v>
      </c>
      <c r="H109">
        <v>45.066495400312498</v>
      </c>
      <c r="I109">
        <v>7.58964341545685</v>
      </c>
      <c r="J109" t="s">
        <v>378</v>
      </c>
    </row>
    <row r="110" spans="1:10" x14ac:dyDescent="0.35">
      <c r="A110">
        <v>10</v>
      </c>
      <c r="B110" t="s">
        <v>236</v>
      </c>
      <c r="C110" t="s">
        <v>245</v>
      </c>
      <c r="E110" t="s">
        <v>248</v>
      </c>
      <c r="F110" t="s">
        <v>251</v>
      </c>
      <c r="G110" t="s">
        <v>253</v>
      </c>
      <c r="H110">
        <v>52.246064944967699</v>
      </c>
      <c r="I110">
        <v>-7.1386928412645201</v>
      </c>
      <c r="J110" t="s">
        <v>379</v>
      </c>
    </row>
    <row r="111" spans="1:10" x14ac:dyDescent="0.35">
      <c r="A111">
        <v>10</v>
      </c>
      <c r="B111" t="s">
        <v>237</v>
      </c>
      <c r="C111" t="s">
        <v>246</v>
      </c>
      <c r="E111" t="s">
        <v>111</v>
      </c>
      <c r="F111" t="s">
        <v>249</v>
      </c>
      <c r="G111" t="s">
        <v>31</v>
      </c>
      <c r="H111">
        <v>45.066583261676797</v>
      </c>
      <c r="I111">
        <v>7.58958766603818</v>
      </c>
      <c r="J111" t="s">
        <v>380</v>
      </c>
    </row>
    <row r="112" spans="1:10" x14ac:dyDescent="0.35">
      <c r="A112">
        <v>10</v>
      </c>
      <c r="B112" t="s">
        <v>238</v>
      </c>
      <c r="C112" t="s">
        <v>246</v>
      </c>
      <c r="E112" t="s">
        <v>111</v>
      </c>
      <c r="F112" t="s">
        <v>249</v>
      </c>
      <c r="G112" t="s">
        <v>31</v>
      </c>
      <c r="H112">
        <v>45.066583261676797</v>
      </c>
      <c r="I112">
        <v>7.58958766603818</v>
      </c>
      <c r="J112" t="s">
        <v>381</v>
      </c>
    </row>
    <row r="113" spans="1:10" x14ac:dyDescent="0.35">
      <c r="A113">
        <v>10</v>
      </c>
      <c r="B113" t="s">
        <v>239</v>
      </c>
      <c r="C113" t="s">
        <v>243</v>
      </c>
      <c r="E113" t="s">
        <v>156</v>
      </c>
      <c r="F113" t="s">
        <v>157</v>
      </c>
      <c r="G113" t="s">
        <v>26</v>
      </c>
      <c r="H113">
        <v>52.438267798237803</v>
      </c>
      <c r="I113">
        <v>13.0125776148264</v>
      </c>
      <c r="J113" t="s">
        <v>382</v>
      </c>
    </row>
    <row r="114" spans="1:10" x14ac:dyDescent="0.35">
      <c r="A114">
        <v>10</v>
      </c>
      <c r="B114" t="s">
        <v>177</v>
      </c>
      <c r="C114" t="s">
        <v>255</v>
      </c>
      <c r="E114" t="s">
        <v>114</v>
      </c>
      <c r="F114" t="s">
        <v>98</v>
      </c>
      <c r="G114" t="s">
        <v>24</v>
      </c>
      <c r="H114">
        <v>47.5165278569471</v>
      </c>
      <c r="I114">
        <v>8.0255581112228906</v>
      </c>
      <c r="J114" t="s">
        <v>339</v>
      </c>
    </row>
    <row r="115" spans="1:10" x14ac:dyDescent="0.35">
      <c r="A115">
        <v>10</v>
      </c>
      <c r="B115" t="s">
        <v>240</v>
      </c>
      <c r="C115" t="s">
        <v>243</v>
      </c>
      <c r="D115" t="s">
        <v>247</v>
      </c>
      <c r="E115" t="s">
        <v>156</v>
      </c>
      <c r="F115" t="s">
        <v>157</v>
      </c>
      <c r="G115" t="s">
        <v>26</v>
      </c>
      <c r="H115">
        <v>52.438267798237803</v>
      </c>
      <c r="I115">
        <v>13.0125776148264</v>
      </c>
      <c r="J115" t="s">
        <v>383</v>
      </c>
    </row>
    <row r="116" spans="1:10" x14ac:dyDescent="0.35">
      <c r="A116">
        <v>10</v>
      </c>
      <c r="B116" t="s">
        <v>241</v>
      </c>
      <c r="C116" t="s">
        <v>246</v>
      </c>
      <c r="E116" t="s">
        <v>111</v>
      </c>
      <c r="F116" t="s">
        <v>249</v>
      </c>
      <c r="G116" t="s">
        <v>31</v>
      </c>
      <c r="H116">
        <v>45.066583261676797</v>
      </c>
      <c r="I116">
        <v>7.58958766603818</v>
      </c>
      <c r="J116" t="s">
        <v>384</v>
      </c>
    </row>
    <row r="117" spans="1:10" x14ac:dyDescent="0.35">
      <c r="A117">
        <v>11</v>
      </c>
      <c r="B117" s="2" t="s">
        <v>177</v>
      </c>
      <c r="C117" t="s">
        <v>255</v>
      </c>
      <c r="E117" t="s">
        <v>114</v>
      </c>
      <c r="F117" t="s">
        <v>98</v>
      </c>
      <c r="G117" t="s">
        <v>24</v>
      </c>
      <c r="H117">
        <v>47.5165278569471</v>
      </c>
      <c r="I117">
        <v>8.0255581112228906</v>
      </c>
      <c r="J117" t="s">
        <v>339</v>
      </c>
    </row>
    <row r="118" spans="1:10" x14ac:dyDescent="0.35">
      <c r="A118">
        <v>11</v>
      </c>
      <c r="B118" t="s">
        <v>422</v>
      </c>
      <c r="C118" t="s">
        <v>456</v>
      </c>
      <c r="D118" t="s">
        <v>459</v>
      </c>
      <c r="E118" t="s">
        <v>457</v>
      </c>
      <c r="F118" t="s">
        <v>458</v>
      </c>
      <c r="G118" t="s">
        <v>272</v>
      </c>
      <c r="H118">
        <v>52.203154253755997</v>
      </c>
      <c r="I118">
        <v>0.12090679835312</v>
      </c>
      <c r="J118" t="s">
        <v>439</v>
      </c>
    </row>
    <row r="119" spans="1:10" x14ac:dyDescent="0.35">
      <c r="A119">
        <v>11</v>
      </c>
      <c r="B119" t="s">
        <v>423</v>
      </c>
      <c r="C119" t="s">
        <v>460</v>
      </c>
      <c r="E119" t="s">
        <v>461</v>
      </c>
      <c r="F119" t="s">
        <v>462</v>
      </c>
      <c r="G119" t="s">
        <v>32</v>
      </c>
      <c r="H119">
        <v>48.621224062723499</v>
      </c>
      <c r="I119">
        <v>2.4524491101874899</v>
      </c>
      <c r="J119" t="s">
        <v>440</v>
      </c>
    </row>
    <row r="120" spans="1:10" x14ac:dyDescent="0.35">
      <c r="A120">
        <v>11</v>
      </c>
      <c r="B120" t="s">
        <v>424</v>
      </c>
      <c r="C120" t="s">
        <v>463</v>
      </c>
      <c r="E120" t="s">
        <v>464</v>
      </c>
      <c r="F120" t="s">
        <v>465</v>
      </c>
      <c r="G120" t="s">
        <v>26</v>
      </c>
      <c r="H120">
        <v>52.621993577427098</v>
      </c>
      <c r="I120">
        <v>10.084835040696399</v>
      </c>
      <c r="J120" t="s">
        <v>441</v>
      </c>
    </row>
    <row r="121" spans="1:10" x14ac:dyDescent="0.35">
      <c r="A121">
        <v>11</v>
      </c>
      <c r="B121" t="s">
        <v>425</v>
      </c>
      <c r="C121" t="s">
        <v>460</v>
      </c>
      <c r="E121" t="s">
        <v>461</v>
      </c>
      <c r="F121" t="s">
        <v>462</v>
      </c>
      <c r="G121" t="s">
        <v>32</v>
      </c>
      <c r="H121">
        <v>48.621224062723499</v>
      </c>
      <c r="I121">
        <v>2.4524491101874899</v>
      </c>
      <c r="J121" t="s">
        <v>442</v>
      </c>
    </row>
    <row r="122" spans="1:10" x14ac:dyDescent="0.35">
      <c r="A122">
        <v>11</v>
      </c>
      <c r="B122" t="s">
        <v>426</v>
      </c>
      <c r="C122" t="s">
        <v>466</v>
      </c>
      <c r="E122" t="s">
        <v>467</v>
      </c>
      <c r="F122" t="s">
        <v>468</v>
      </c>
      <c r="G122" t="s">
        <v>252</v>
      </c>
      <c r="H122">
        <v>39.774054222384102</v>
      </c>
      <c r="I122">
        <v>-86.170761786689695</v>
      </c>
      <c r="J122" t="s">
        <v>443</v>
      </c>
    </row>
    <row r="123" spans="1:10" x14ac:dyDescent="0.35">
      <c r="A123">
        <v>11</v>
      </c>
      <c r="B123" t="s">
        <v>427</v>
      </c>
      <c r="C123" t="s">
        <v>469</v>
      </c>
      <c r="E123" t="s">
        <v>470</v>
      </c>
      <c r="F123" t="s">
        <v>471</v>
      </c>
      <c r="G123" t="s">
        <v>472</v>
      </c>
      <c r="H123">
        <v>60.811112394113501</v>
      </c>
      <c r="I123">
        <v>23.475501542328999</v>
      </c>
      <c r="J123" t="s">
        <v>444</v>
      </c>
    </row>
    <row r="124" spans="1:10" x14ac:dyDescent="0.35">
      <c r="A124">
        <v>11</v>
      </c>
      <c r="B124" t="s">
        <v>174</v>
      </c>
      <c r="C124" t="s">
        <v>317</v>
      </c>
      <c r="E124" t="s">
        <v>43</v>
      </c>
      <c r="F124" t="s">
        <v>44</v>
      </c>
      <c r="G124" t="s">
        <v>26</v>
      </c>
      <c r="H124">
        <v>52.458026759456096</v>
      </c>
      <c r="I124">
        <v>13.3017890536159</v>
      </c>
      <c r="J124" t="s">
        <v>326</v>
      </c>
    </row>
    <row r="125" spans="1:10" x14ac:dyDescent="0.35">
      <c r="A125">
        <v>11</v>
      </c>
      <c r="B125" t="s">
        <v>428</v>
      </c>
      <c r="C125" t="s">
        <v>473</v>
      </c>
      <c r="E125" t="s">
        <v>474</v>
      </c>
      <c r="F125" t="s">
        <v>475</v>
      </c>
      <c r="G125" t="s">
        <v>89</v>
      </c>
      <c r="H125">
        <v>53.238677639045598</v>
      </c>
      <c r="I125">
        <v>6.5380058883133803</v>
      </c>
      <c r="J125" t="s">
        <v>445</v>
      </c>
    </row>
    <row r="126" spans="1:10" x14ac:dyDescent="0.35">
      <c r="A126">
        <v>11</v>
      </c>
      <c r="B126" t="s">
        <v>182</v>
      </c>
      <c r="C126" t="s">
        <v>334</v>
      </c>
      <c r="E126" t="s">
        <v>97</v>
      </c>
      <c r="F126" t="s">
        <v>116</v>
      </c>
      <c r="G126" t="s">
        <v>27</v>
      </c>
      <c r="H126">
        <v>50.901688931880003</v>
      </c>
      <c r="I126">
        <v>3.1244129975938102</v>
      </c>
      <c r="J126" t="s">
        <v>331</v>
      </c>
    </row>
    <row r="127" spans="1:10" x14ac:dyDescent="0.35">
      <c r="A127">
        <v>11</v>
      </c>
      <c r="B127" t="s">
        <v>429</v>
      </c>
      <c r="C127" t="s">
        <v>456</v>
      </c>
      <c r="E127" t="s">
        <v>457</v>
      </c>
      <c r="F127" t="s">
        <v>458</v>
      </c>
      <c r="G127" t="s">
        <v>272</v>
      </c>
      <c r="H127">
        <v>52.203154253755997</v>
      </c>
      <c r="I127">
        <v>0.12090679835312</v>
      </c>
      <c r="J127" t="s">
        <v>446</v>
      </c>
    </row>
    <row r="128" spans="1:10" x14ac:dyDescent="0.35">
      <c r="A128">
        <v>11</v>
      </c>
      <c r="B128" t="s">
        <v>430</v>
      </c>
      <c r="C128" t="s">
        <v>460</v>
      </c>
      <c r="E128" t="s">
        <v>461</v>
      </c>
      <c r="F128" t="s">
        <v>462</v>
      </c>
      <c r="G128" t="s">
        <v>32</v>
      </c>
      <c r="H128">
        <v>48.621224062723499</v>
      </c>
      <c r="I128">
        <v>2.4524491101874899</v>
      </c>
      <c r="J128" t="s">
        <v>447</v>
      </c>
    </row>
    <row r="129" spans="1:10" x14ac:dyDescent="0.35">
      <c r="A129">
        <v>11</v>
      </c>
      <c r="B129" t="s">
        <v>431</v>
      </c>
      <c r="C129" t="s">
        <v>478</v>
      </c>
      <c r="E129" t="s">
        <v>476</v>
      </c>
      <c r="F129" t="s">
        <v>477</v>
      </c>
      <c r="G129" t="s">
        <v>30</v>
      </c>
      <c r="H129">
        <v>41.385215420251697</v>
      </c>
      <c r="I129">
        <v>2.1960336980134501</v>
      </c>
      <c r="J129" t="s">
        <v>448</v>
      </c>
    </row>
    <row r="130" spans="1:10" x14ac:dyDescent="0.35">
      <c r="A130">
        <v>11</v>
      </c>
      <c r="B130" t="s">
        <v>432</v>
      </c>
      <c r="C130" t="s">
        <v>479</v>
      </c>
      <c r="E130" t="s">
        <v>110</v>
      </c>
      <c r="F130" t="s">
        <v>40</v>
      </c>
      <c r="G130" t="s">
        <v>89</v>
      </c>
      <c r="H130">
        <v>51.986670988851898</v>
      </c>
      <c r="I130">
        <v>5.6632509764321197</v>
      </c>
      <c r="J130" t="s">
        <v>449</v>
      </c>
    </row>
    <row r="131" spans="1:10" x14ac:dyDescent="0.35">
      <c r="A131">
        <v>11</v>
      </c>
      <c r="B131" t="s">
        <v>433</v>
      </c>
      <c r="C131" t="s">
        <v>466</v>
      </c>
      <c r="E131" t="s">
        <v>467</v>
      </c>
      <c r="F131" t="s">
        <v>468</v>
      </c>
      <c r="G131" t="s">
        <v>252</v>
      </c>
      <c r="H131">
        <v>39.774054222384102</v>
      </c>
      <c r="I131">
        <v>-86.170761786689695</v>
      </c>
      <c r="J131" t="s">
        <v>450</v>
      </c>
    </row>
    <row r="132" spans="1:10" x14ac:dyDescent="0.35">
      <c r="A132">
        <v>11</v>
      </c>
      <c r="B132" t="s">
        <v>434</v>
      </c>
      <c r="C132" t="s">
        <v>480</v>
      </c>
      <c r="E132" t="s">
        <v>481</v>
      </c>
      <c r="F132" t="s">
        <v>482</v>
      </c>
      <c r="G132" t="s">
        <v>483</v>
      </c>
      <c r="H132">
        <v>-33.930661767621103</v>
      </c>
      <c r="I132">
        <v>18.8654666401459</v>
      </c>
      <c r="J132" t="s">
        <v>451</v>
      </c>
    </row>
    <row r="133" spans="1:10" x14ac:dyDescent="0.35">
      <c r="A133">
        <v>11</v>
      </c>
      <c r="B133" t="s">
        <v>435</v>
      </c>
      <c r="C133" t="s">
        <v>484</v>
      </c>
      <c r="E133" t="s">
        <v>485</v>
      </c>
      <c r="F133" t="s">
        <v>486</v>
      </c>
      <c r="G133" t="s">
        <v>274</v>
      </c>
      <c r="H133">
        <v>56.166737254230803</v>
      </c>
      <c r="I133">
        <v>10.2030475500672</v>
      </c>
      <c r="J133" t="s">
        <v>452</v>
      </c>
    </row>
    <row r="134" spans="1:10" x14ac:dyDescent="0.35">
      <c r="A134">
        <v>11</v>
      </c>
      <c r="B134" t="s">
        <v>436</v>
      </c>
      <c r="C134" t="s">
        <v>487</v>
      </c>
      <c r="E134" t="s">
        <v>110</v>
      </c>
      <c r="F134" t="s">
        <v>40</v>
      </c>
      <c r="G134" t="s">
        <v>89</v>
      </c>
      <c r="H134">
        <v>51.986714858359598</v>
      </c>
      <c r="I134">
        <v>5.6632470000000001</v>
      </c>
      <c r="J134" t="s">
        <v>453</v>
      </c>
    </row>
    <row r="135" spans="1:10" x14ac:dyDescent="0.35">
      <c r="A135">
        <v>11</v>
      </c>
      <c r="B135" t="s">
        <v>437</v>
      </c>
      <c r="C135" t="s">
        <v>484</v>
      </c>
      <c r="D135" t="s">
        <v>488</v>
      </c>
      <c r="E135" t="s">
        <v>485</v>
      </c>
      <c r="F135" t="s">
        <v>486</v>
      </c>
      <c r="G135" t="s">
        <v>274</v>
      </c>
      <c r="H135">
        <v>56.166737254230803</v>
      </c>
      <c r="I135">
        <v>10.2030475500672</v>
      </c>
      <c r="J135" t="s">
        <v>454</v>
      </c>
    </row>
    <row r="136" spans="1:10" x14ac:dyDescent="0.35">
      <c r="A136">
        <v>11</v>
      </c>
      <c r="B136" t="s">
        <v>438</v>
      </c>
      <c r="C136" t="s">
        <v>492</v>
      </c>
      <c r="E136" t="s">
        <v>489</v>
      </c>
      <c r="F136" t="s">
        <v>490</v>
      </c>
      <c r="G136" t="s">
        <v>491</v>
      </c>
      <c r="H136">
        <v>46.060633671089903</v>
      </c>
      <c r="I136">
        <v>14.5185184981527</v>
      </c>
      <c r="J136" t="s">
        <v>455</v>
      </c>
    </row>
    <row r="137" spans="1:10" x14ac:dyDescent="0.35">
      <c r="A137">
        <v>12</v>
      </c>
      <c r="B137" t="s">
        <v>149</v>
      </c>
      <c r="C137" t="s">
        <v>154</v>
      </c>
      <c r="E137" t="s">
        <v>155</v>
      </c>
      <c r="F137" t="s">
        <v>145</v>
      </c>
      <c r="G137" t="s">
        <v>27</v>
      </c>
      <c r="H137">
        <v>51.159985571618499</v>
      </c>
      <c r="I137">
        <v>4.9610030976058503</v>
      </c>
      <c r="J137" t="s">
        <v>385</v>
      </c>
    </row>
    <row r="138" spans="1:10" x14ac:dyDescent="0.35">
      <c r="A138">
        <v>12</v>
      </c>
      <c r="B138" t="s">
        <v>150</v>
      </c>
      <c r="C138" t="s">
        <v>154</v>
      </c>
      <c r="E138" t="s">
        <v>155</v>
      </c>
      <c r="F138" t="s">
        <v>145</v>
      </c>
      <c r="G138" t="s">
        <v>27</v>
      </c>
      <c r="H138">
        <v>51.159985571618499</v>
      </c>
      <c r="I138">
        <v>4.9610030976058503</v>
      </c>
      <c r="J138" t="s">
        <v>386</v>
      </c>
    </row>
    <row r="139" spans="1:10" x14ac:dyDescent="0.35">
      <c r="A139">
        <v>12</v>
      </c>
      <c r="B139" t="s">
        <v>151</v>
      </c>
      <c r="C139" t="s">
        <v>143</v>
      </c>
      <c r="E139" t="s">
        <v>144</v>
      </c>
      <c r="F139" t="s">
        <v>145</v>
      </c>
      <c r="G139" t="s">
        <v>27</v>
      </c>
      <c r="H139">
        <v>51.160938939948899</v>
      </c>
      <c r="I139">
        <v>4.9613980167991301</v>
      </c>
      <c r="J139" t="s">
        <v>387</v>
      </c>
    </row>
    <row r="140" spans="1:10" x14ac:dyDescent="0.35">
      <c r="A140">
        <v>12</v>
      </c>
      <c r="B140" t="s">
        <v>152</v>
      </c>
      <c r="C140" t="s">
        <v>243</v>
      </c>
      <c r="E140" t="s">
        <v>156</v>
      </c>
      <c r="F140" t="s">
        <v>157</v>
      </c>
      <c r="G140" t="s">
        <v>26</v>
      </c>
      <c r="H140">
        <v>52.438267798237803</v>
      </c>
      <c r="I140">
        <v>13.0125776148264</v>
      </c>
      <c r="J140" t="s">
        <v>376</v>
      </c>
    </row>
    <row r="141" spans="1:10" x14ac:dyDescent="0.35">
      <c r="A141">
        <v>12</v>
      </c>
      <c r="B141" t="s">
        <v>153</v>
      </c>
      <c r="C141" t="s">
        <v>154</v>
      </c>
      <c r="E141" t="s">
        <v>155</v>
      </c>
      <c r="F141" t="s">
        <v>145</v>
      </c>
      <c r="G141" t="s">
        <v>27</v>
      </c>
      <c r="H141">
        <v>51.159985571618499</v>
      </c>
      <c r="I141">
        <v>4.9610030976058503</v>
      </c>
      <c r="J141" t="s">
        <v>388</v>
      </c>
    </row>
    <row r="142" spans="1:10" x14ac:dyDescent="0.35">
      <c r="A142">
        <v>13</v>
      </c>
      <c r="B142" s="1" t="s">
        <v>67</v>
      </c>
      <c r="C142" t="s">
        <v>286</v>
      </c>
      <c r="D142" t="s">
        <v>84</v>
      </c>
      <c r="E142" t="s">
        <v>115</v>
      </c>
      <c r="F142" t="s">
        <v>42</v>
      </c>
      <c r="G142" t="s">
        <v>26</v>
      </c>
      <c r="H142">
        <v>52.668316965716002</v>
      </c>
      <c r="I142">
        <v>7.9530457688421796</v>
      </c>
      <c r="J142" t="s">
        <v>389</v>
      </c>
    </row>
    <row r="143" spans="1:10" x14ac:dyDescent="0.35">
      <c r="A143">
        <v>13</v>
      </c>
      <c r="B143" t="s">
        <v>133</v>
      </c>
      <c r="C143" t="s">
        <v>334</v>
      </c>
      <c r="E143" t="s">
        <v>97</v>
      </c>
      <c r="F143" t="s">
        <v>116</v>
      </c>
      <c r="G143" t="s">
        <v>27</v>
      </c>
      <c r="H143">
        <v>50.901688931880003</v>
      </c>
      <c r="I143">
        <v>3.1244129975938102</v>
      </c>
      <c r="J143" t="s">
        <v>335</v>
      </c>
    </row>
    <row r="144" spans="1:10" x14ac:dyDescent="0.35">
      <c r="A144">
        <v>13</v>
      </c>
      <c r="B144" t="s">
        <v>182</v>
      </c>
      <c r="C144" t="s">
        <v>334</v>
      </c>
      <c r="E144" t="s">
        <v>97</v>
      </c>
      <c r="F144" t="s">
        <v>116</v>
      </c>
      <c r="G144" t="s">
        <v>27</v>
      </c>
      <c r="H144">
        <v>50.901688931880003</v>
      </c>
      <c r="I144">
        <v>3.1244129975938102</v>
      </c>
      <c r="J144" t="s">
        <v>331</v>
      </c>
    </row>
    <row r="145" spans="1:10" x14ac:dyDescent="0.35">
      <c r="A145">
        <v>13</v>
      </c>
      <c r="B145" t="s">
        <v>232</v>
      </c>
      <c r="C145" t="s">
        <v>286</v>
      </c>
      <c r="E145" t="s">
        <v>115</v>
      </c>
      <c r="F145" t="s">
        <v>42</v>
      </c>
      <c r="G145" t="s">
        <v>26</v>
      </c>
      <c r="H145">
        <v>52.668316965716002</v>
      </c>
      <c r="I145">
        <v>7.9530457688421796</v>
      </c>
      <c r="J145" t="s">
        <v>390</v>
      </c>
    </row>
    <row r="146" spans="1:10" x14ac:dyDescent="0.35">
      <c r="A146">
        <v>13</v>
      </c>
      <c r="B146" t="s">
        <v>175</v>
      </c>
      <c r="C146" t="s">
        <v>85</v>
      </c>
      <c r="E146" t="s">
        <v>94</v>
      </c>
      <c r="F146" t="s">
        <v>47</v>
      </c>
      <c r="G146" t="s">
        <v>30</v>
      </c>
      <c r="H146">
        <v>39.483439310277099</v>
      </c>
      <c r="I146">
        <v>-0.34418610289270402</v>
      </c>
      <c r="J146" t="s">
        <v>391</v>
      </c>
    </row>
    <row r="147" spans="1:10" x14ac:dyDescent="0.35">
      <c r="A147">
        <v>13</v>
      </c>
      <c r="B147" t="s">
        <v>161</v>
      </c>
      <c r="C147" t="s">
        <v>69</v>
      </c>
      <c r="E147" t="s">
        <v>37</v>
      </c>
      <c r="F147" t="s">
        <v>36</v>
      </c>
      <c r="G147" t="s">
        <v>29</v>
      </c>
      <c r="H147">
        <v>47.264327448622801</v>
      </c>
      <c r="I147">
        <v>11.342513280116099</v>
      </c>
      <c r="J147" t="s">
        <v>330</v>
      </c>
    </row>
    <row r="148" spans="1:10" x14ac:dyDescent="0.35">
      <c r="A148">
        <v>13</v>
      </c>
      <c r="B148" t="s">
        <v>184</v>
      </c>
      <c r="C148" t="s">
        <v>68</v>
      </c>
      <c r="E148" t="s">
        <v>39</v>
      </c>
      <c r="F148" t="s">
        <v>38</v>
      </c>
      <c r="G148" t="s">
        <v>28</v>
      </c>
      <c r="H148">
        <v>30.611539796408</v>
      </c>
      <c r="I148">
        <v>-96.347648287433501</v>
      </c>
      <c r="J148" t="s">
        <v>347</v>
      </c>
    </row>
    <row r="149" spans="1:10" x14ac:dyDescent="0.35">
      <c r="A149">
        <v>13</v>
      </c>
      <c r="B149" t="s">
        <v>177</v>
      </c>
      <c r="C149" t="s">
        <v>255</v>
      </c>
      <c r="E149" t="s">
        <v>114</v>
      </c>
      <c r="F149" t="s">
        <v>98</v>
      </c>
      <c r="G149" t="s">
        <v>24</v>
      </c>
      <c r="H149">
        <v>47.5165278569471</v>
      </c>
      <c r="I149">
        <v>8.0255581112228906</v>
      </c>
      <c r="J149" t="s">
        <v>339</v>
      </c>
    </row>
    <row r="150" spans="1:10" x14ac:dyDescent="0.35">
      <c r="A150">
        <v>13</v>
      </c>
      <c r="B150" t="s">
        <v>233</v>
      </c>
      <c r="C150" t="s">
        <v>86</v>
      </c>
      <c r="E150" t="s">
        <v>90</v>
      </c>
      <c r="F150" t="s">
        <v>101</v>
      </c>
      <c r="G150" t="s">
        <v>31</v>
      </c>
      <c r="H150">
        <v>43.588505309831604</v>
      </c>
      <c r="I150">
        <v>13.515464457635399</v>
      </c>
      <c r="J150" t="s">
        <v>392</v>
      </c>
    </row>
  </sheetData>
  <autoFilter ref="A1:J150" xr:uid="{B230D25E-7499-4D12-9A0D-98A4686DA573}"/>
  <hyperlinks>
    <hyperlink ref="J95" r:id="rId1" xr:uid="{A35D6185-A1A1-4913-AB75-B4EE67E0E812}"/>
    <hyperlink ref="J78" r:id="rId2" xr:uid="{AA5DECAF-6724-47C0-9F1C-E611BD43878E}"/>
    <hyperlink ref="J83" r:id="rId3" xr:uid="{FDA9750E-F1B8-43DA-A243-826F4489997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A36E-44A3-4C9A-91E1-BCF2F01F0DD5}">
  <dimension ref="A1:D110"/>
  <sheetViews>
    <sheetView zoomScale="85" zoomScaleNormal="85" workbookViewId="0">
      <pane ySplit="1" topLeftCell="A2" activePane="bottomLeft" state="frozen"/>
      <selection pane="bottomLeft" activeCell="B20" sqref="B20"/>
    </sheetView>
  </sheetViews>
  <sheetFormatPr defaultRowHeight="14.5" x14ac:dyDescent="0.35"/>
  <cols>
    <col min="1" max="1" width="4.54296875" style="8" bestFit="1" customWidth="1"/>
    <col min="2" max="2" width="19" style="8" bestFit="1" customWidth="1"/>
    <col min="3" max="3" width="59" style="8" bestFit="1" customWidth="1"/>
    <col min="4" max="4" width="35.1796875" style="8" bestFit="1" customWidth="1"/>
  </cols>
  <sheetData>
    <row r="1" spans="1:4" x14ac:dyDescent="0.35">
      <c r="A1" s="7" t="s">
        <v>394</v>
      </c>
      <c r="B1" s="7" t="s">
        <v>17</v>
      </c>
      <c r="C1" s="7" t="s">
        <v>34</v>
      </c>
      <c r="D1" s="7" t="s">
        <v>333</v>
      </c>
    </row>
    <row r="2" spans="1:4" x14ac:dyDescent="0.35">
      <c r="A2" s="8">
        <v>1</v>
      </c>
      <c r="B2" s="8" t="str" cm="1">
        <f t="array" ref="B2:B110">_xlfn._xlws.SORT(_xlfn.UNIQUE(contributions!B2:B150))</f>
        <v>A. Francis</v>
      </c>
      <c r="C2" s="8" t="str">
        <f>VLOOKUP(B2,contributions!B:H,4,FALSE)</f>
        <v>DIL e.V.</v>
      </c>
      <c r="D2" s="8" t="str">
        <f>VLOOKUP(B2,contributions!B:J,9,FALSE)</f>
        <v>https://orcid.org/0000-0003-2813-9277</v>
      </c>
    </row>
    <row r="3" spans="1:4" x14ac:dyDescent="0.35">
      <c r="A3" s="8">
        <v>2</v>
      </c>
      <c r="B3" s="8" t="str">
        <v>A. Montali</v>
      </c>
      <c r="C3" s="8" t="str">
        <f>VLOOKUP(B3,contributions!B:H,4,FALSE)</f>
        <v>University of Insubria</v>
      </c>
      <c r="D3" s="8" t="str">
        <f>VLOOKUP(B3,contributions!B:J,9,FALSE)</f>
        <v>https://orcid.org/0000-0001-8144-9624</v>
      </c>
    </row>
    <row r="4" spans="1:4" x14ac:dyDescent="0.35">
      <c r="A4" s="8">
        <v>3</v>
      </c>
      <c r="B4" s="8" t="str">
        <v>A. Mostafaie</v>
      </c>
      <c r="C4" s="8" t="str">
        <f>VLOOKUP(B4,contributions!B:H,4,FALSE)</f>
        <v>University of Aveiro</v>
      </c>
      <c r="D4" s="8" t="str">
        <f>VLOOKUP(B4,contributions!B:J,9,FALSE)</f>
        <v>https://orcid.org/0000-0003-4268-4052</v>
      </c>
    </row>
    <row r="5" spans="1:4" x14ac:dyDescent="0.35">
      <c r="A5" s="8">
        <v>4</v>
      </c>
      <c r="B5" s="8" t="str">
        <v>A. Roman</v>
      </c>
      <c r="C5" s="8" t="str">
        <f>VLOOKUP(B5,contributions!B:H,4,FALSE)</f>
        <v>University of Exeter</v>
      </c>
      <c r="D5" s="8" t="str">
        <f>VLOOKUP(B5,contributions!B:J,9,FALSE)</f>
        <v>https://orcid.org/0000-0002-8581-4737</v>
      </c>
    </row>
    <row r="6" spans="1:4" x14ac:dyDescent="0.35">
      <c r="A6" s="8">
        <v>5</v>
      </c>
      <c r="B6" s="8" t="str">
        <v>A.C. Bouwman</v>
      </c>
      <c r="C6" s="8" t="str">
        <f>VLOOKUP(B6,contributions!B:H,4,FALSE)</f>
        <v>Wageningen University</v>
      </c>
      <c r="D6" s="8" t="str">
        <f>VLOOKUP(B6,contributions!B:J,9,FALSE)</f>
        <v>https://orcid.org/0000-0001-5079-7108</v>
      </c>
    </row>
    <row r="7" spans="1:4" x14ac:dyDescent="0.35">
      <c r="A7" s="8">
        <v>6</v>
      </c>
      <c r="B7" s="8" t="str">
        <v>A.P. Parodi</v>
      </c>
      <c r="C7" s="8" t="str">
        <f>VLOOKUP(B7,contributions!B:H,4,FALSE)</f>
        <v>Wageningen University</v>
      </c>
      <c r="D7" s="8" t="str">
        <f>VLOOKUP(B7,contributions!B:J,9,FALSE)</f>
        <v>https://orcid.org/0000-0003-1351-138X</v>
      </c>
    </row>
    <row r="8" spans="1:4" x14ac:dyDescent="0.35">
      <c r="A8" s="8">
        <v>7</v>
      </c>
      <c r="B8" s="8" t="str">
        <v>A.R. Slowik</v>
      </c>
      <c r="C8" s="8" t="str">
        <f>VLOOKUP(B8,contributions!B:H,4,FALSE)</f>
        <v>UK Centre for Ecology and Hydrology</v>
      </c>
      <c r="D8" s="8" t="str">
        <f>VLOOKUP(B8,contributions!B:J,9,FALSE)</f>
        <v>https://orcid.org/0000-0003-3079-3868</v>
      </c>
    </row>
    <row r="9" spans="1:4" x14ac:dyDescent="0.35">
      <c r="A9" s="8">
        <v>8</v>
      </c>
      <c r="B9" s="8" t="str">
        <v>A.R.R. Silva</v>
      </c>
      <c r="C9" s="8" t="str">
        <f>VLOOKUP(B9,contributions!B:H,4,FALSE)</f>
        <v>University of Aveiro</v>
      </c>
      <c r="D9" s="8" t="str">
        <f>VLOOKUP(B9,contributions!B:J,9,FALSE)</f>
        <v>https://orcid.org/0000-0003-0689-639X</v>
      </c>
    </row>
    <row r="10" spans="1:4" x14ac:dyDescent="0.35">
      <c r="A10" s="8">
        <v>9</v>
      </c>
      <c r="B10" s="8" t="str">
        <v>B.A. Pannebakker</v>
      </c>
      <c r="C10" s="8" t="str">
        <f>VLOOKUP(B10,contributions!B:H,4,FALSE)</f>
        <v>Wageningen University</v>
      </c>
      <c r="D10" s="8" t="str">
        <f>VLOOKUP(B10,contributions!B:J,9,FALSE)</f>
        <v>https://orcid.org/0000-0001-8503-3896</v>
      </c>
    </row>
    <row r="11" spans="1:4" x14ac:dyDescent="0.35">
      <c r="A11" s="8">
        <v>10</v>
      </c>
      <c r="B11" s="8" t="str">
        <v>C. Adamaki-Sotiraki</v>
      </c>
      <c r="C11" s="8" t="str">
        <f>VLOOKUP(B11,contributions!B:H,4,FALSE)</f>
        <v>University of Thessaly</v>
      </c>
      <c r="D11" s="8" t="str">
        <f>VLOOKUP(B11,contributions!B:J,9,FALSE)</f>
        <v>https://orcid.org/0000-0002-0777-3634</v>
      </c>
    </row>
    <row r="12" spans="1:4" x14ac:dyDescent="0.35">
      <c r="A12" s="8">
        <v>11</v>
      </c>
      <c r="B12" s="8" t="str">
        <v>C. Bressac</v>
      </c>
      <c r="C12" s="8" t="str">
        <f>VLOOKUP(B12,contributions!B:H,4,FALSE)</f>
        <v>University of Tours</v>
      </c>
      <c r="D12" s="8" t="str">
        <f>VLOOKUP(B12,contributions!B:J,9,FALSE)</f>
        <v>https://orcid.org/0000-0001-7609-8970</v>
      </c>
    </row>
    <row r="13" spans="1:4" x14ac:dyDescent="0.35">
      <c r="A13" s="8">
        <v>12</v>
      </c>
      <c r="B13" s="8" t="str">
        <v>C. Rhode</v>
      </c>
      <c r="C13" s="8" t="str">
        <f>VLOOKUP(B13,contributions!B:H,4,FALSE)</f>
        <v>Stellenbosch University</v>
      </c>
      <c r="D13" s="8" t="str">
        <f>VLOOKUP(B13,contributions!B:J,9,FALSE)</f>
        <v>https://orcid.org/0000-0001-7969-7282</v>
      </c>
    </row>
    <row r="14" spans="1:4" x14ac:dyDescent="0.35">
      <c r="A14" s="8">
        <v>13</v>
      </c>
      <c r="B14" s="8" t="str">
        <v>C. Rumbos</v>
      </c>
      <c r="C14" s="8" t="str">
        <f>VLOOKUP(B14,contributions!B:H,4,FALSE)</f>
        <v>University of Patras</v>
      </c>
      <c r="D14" s="8" t="str">
        <f>VLOOKUP(B14,contributions!B:J,9,FALSE)</f>
        <v>https://orcid.org/0000-0002-3169-352X</v>
      </c>
    </row>
    <row r="15" spans="1:4" x14ac:dyDescent="0.35">
      <c r="A15" s="8">
        <v>14</v>
      </c>
      <c r="B15" s="8" t="str">
        <v>C. Sandrock</v>
      </c>
      <c r="C15" s="8" t="str">
        <f>VLOOKUP(B15,contributions!B:H,4,FALSE)</f>
        <v>FiBL</v>
      </c>
      <c r="D15" s="8" t="str">
        <f>VLOOKUP(B15,contributions!B:J,9,FALSE)</f>
        <v>https://orcid.org/0000-0002-2054-2216</v>
      </c>
    </row>
    <row r="16" spans="1:4" x14ac:dyDescent="0.35">
      <c r="A16" s="8">
        <v>15</v>
      </c>
      <c r="B16" s="8" t="str">
        <v>C. Savio</v>
      </c>
      <c r="C16" s="8" t="str">
        <f>VLOOKUP(B16,contributions!B:H,4,FALSE)</f>
        <v>Wageningen University</v>
      </c>
      <c r="D16" s="8" t="str">
        <f>VLOOKUP(B16,contributions!B:J,9,FALSE)</f>
        <v>https://orcid.org/0000-0001-6600-8126</v>
      </c>
    </row>
    <row r="17" spans="1:4" x14ac:dyDescent="0.35">
      <c r="A17" s="8">
        <v>16</v>
      </c>
      <c r="B17" s="8" t="str">
        <v>C. Svendsen</v>
      </c>
      <c r="C17" s="8" t="str">
        <f>VLOOKUP(B17,contributions!B:H,4,FALSE)</f>
        <v>UK Centre for Ecology and Hydrology</v>
      </c>
      <c r="D17" s="8" t="str">
        <f>VLOOKUP(B17,contributions!B:J,9,FALSE)</f>
        <v>https://orcid.org/0000-0001-7281-647X</v>
      </c>
    </row>
    <row r="18" spans="1:4" x14ac:dyDescent="0.35">
      <c r="A18" s="8">
        <v>17</v>
      </c>
      <c r="B18" s="8" t="str">
        <v>C.A.M. Van Gestel</v>
      </c>
      <c r="C18" s="8" t="str">
        <f>VLOOKUP(B18,contributions!B:H,4,FALSE)</f>
        <v>Vrije Universiteit Amsterdam</v>
      </c>
      <c r="D18" s="8" t="str">
        <f>VLOOKUP(B18,contributions!B:J,9,FALSE)</f>
        <v>https://orcid.org/0000-0002-5651-0208</v>
      </c>
    </row>
    <row r="19" spans="1:4" x14ac:dyDescent="0.35">
      <c r="A19" s="8">
        <v>18</v>
      </c>
      <c r="B19" s="8" t="str">
        <v>C.D. Jiggins</v>
      </c>
      <c r="C19" s="8" t="str">
        <f>VLOOKUP(B19,contributions!B:H,4,FALSE)</f>
        <v>University of Cambridge</v>
      </c>
      <c r="D19" s="8" t="str">
        <f>VLOOKUP(B19,contributions!B:J,9,FALSE)</f>
        <v>https://orcid.org/0000-0002-7809-062X</v>
      </c>
    </row>
    <row r="20" spans="1:4" x14ac:dyDescent="0.35">
      <c r="A20" s="8">
        <v>19</v>
      </c>
      <c r="B20" s="8" t="str">
        <v>C.G. Athanassiou</v>
      </c>
      <c r="C20" s="8" t="str">
        <f>VLOOKUP(B20,contributions!B:H,4,FALSE)</f>
        <v>University of Thessaly</v>
      </c>
      <c r="D20" s="8" t="str">
        <f>VLOOKUP(B20,contributions!B:J,9,FALSE)</f>
        <v>https://orcid.org/0000-0001-6578-4019</v>
      </c>
    </row>
    <row r="21" spans="1:4" x14ac:dyDescent="0.35">
      <c r="A21" s="8">
        <v>20</v>
      </c>
      <c r="B21" s="8" t="str">
        <v>C.I. Rumbos</v>
      </c>
      <c r="C21" s="8" t="str">
        <f>VLOOKUP(B21,contributions!B:H,4,FALSE)</f>
        <v>University of Patras</v>
      </c>
      <c r="D21" s="8" t="str">
        <f>VLOOKUP(B21,contributions!B:J,9,FALSE)</f>
        <v>https://orcid.org/0000-0002-3169-352X</v>
      </c>
    </row>
    <row r="22" spans="1:4" x14ac:dyDescent="0.35">
      <c r="A22" s="8">
        <v>21</v>
      </c>
      <c r="B22" s="8" t="str">
        <v>C.J. Picard</v>
      </c>
      <c r="C22" s="8" t="str">
        <f>VLOOKUP(B22,contributions!B:H,4,FALSE)</f>
        <v>Indiana University-Indianapolis</v>
      </c>
      <c r="D22" s="8" t="str">
        <f>VLOOKUP(B22,contributions!B:J,9,FALSE)</f>
        <v>https://orcid.org/0000-0001-8589-8283</v>
      </c>
    </row>
    <row r="23" spans="1:4" x14ac:dyDescent="0.35">
      <c r="A23" s="8">
        <v>22</v>
      </c>
      <c r="B23" s="8" t="str">
        <v>C.L. Coudron</v>
      </c>
      <c r="C23" s="8" t="str">
        <f>VLOOKUP(B23,contributions!B:H,4,FALSE)</f>
        <v>Inagro</v>
      </c>
      <c r="D23" s="8" t="str">
        <f>VLOOKUP(B23,contributions!B:J,9,FALSE)</f>
        <v>https://orcid.org/0000-0002-0620-6187</v>
      </c>
    </row>
    <row r="24" spans="1:4" x14ac:dyDescent="0.35">
      <c r="A24" s="8">
        <v>23</v>
      </c>
      <c r="B24" s="8" t="str">
        <v>C.-M. Geilfus</v>
      </c>
      <c r="C24" s="8" t="str">
        <f>VLOOKUP(B24,contributions!B:H,4,FALSE)</f>
        <v>Hochschule Geisenheim</v>
      </c>
      <c r="D24" s="8" t="str">
        <f>VLOOKUP(B24,contributions!B:J,9,FALSE)</f>
        <v>https://orcid.org/0000-0002-9820-8111</v>
      </c>
    </row>
    <row r="25" spans="1:4" x14ac:dyDescent="0.35">
      <c r="A25" s="8">
        <v>24</v>
      </c>
      <c r="B25" s="8" t="str">
        <v>D. Bruno</v>
      </c>
      <c r="C25" s="8" t="str">
        <f>VLOOKUP(B25,contributions!B:H,4,FALSE)</f>
        <v>University of Insubria</v>
      </c>
      <c r="D25" s="8" t="str">
        <f>VLOOKUP(B25,contributions!B:J,9,FALSE)</f>
        <v>https://orcid.org/0000-0002-2550-3267</v>
      </c>
    </row>
    <row r="26" spans="1:4" x14ac:dyDescent="0.35">
      <c r="A26" s="8">
        <v>25</v>
      </c>
      <c r="B26" s="8" t="str">
        <v>D. Deruytter</v>
      </c>
      <c r="C26" s="8" t="str">
        <f>VLOOKUP(B26,contributions!B:H,4,FALSE)</f>
        <v>Inagro</v>
      </c>
      <c r="D26" s="8" t="str">
        <f>VLOOKUP(B26,contributions!B:J,9,FALSE)</f>
        <v>https://orcid.org/0000-0001-8565-2240</v>
      </c>
    </row>
    <row r="27" spans="1:4" x14ac:dyDescent="0.35">
      <c r="A27" s="8">
        <v>26</v>
      </c>
      <c r="B27" s="8" t="str">
        <v>D. Roma</v>
      </c>
      <c r="C27" s="8" t="str">
        <f>VLOOKUP(B27,contributions!B:H,4,FALSE)</f>
        <v>University of Milan</v>
      </c>
      <c r="D27" s="8" t="str">
        <f>VLOOKUP(B27,contributions!B:J,9,FALSE)</f>
        <v>https://orcid.org/0009-0008-0149-0087</v>
      </c>
    </row>
    <row r="28" spans="1:4" x14ac:dyDescent="0.35">
      <c r="A28" s="8">
        <v>27</v>
      </c>
      <c r="B28" s="8" t="str">
        <v>D. Tegtmeier</v>
      </c>
      <c r="C28" s="8" t="str">
        <f>VLOOKUP(B28,contributions!B:H,4,FALSE)</f>
        <v>Fraunhofer Institute for Molecular Biology and Applied Ecology (IME)</v>
      </c>
      <c r="D28" s="8" t="str">
        <f>VLOOKUP(B28,contributions!B:J,9,FALSE)</f>
        <v>https://orcid.org/0000-0003-1814-9041</v>
      </c>
    </row>
    <row r="29" spans="1:4" x14ac:dyDescent="0.35">
      <c r="A29" s="8">
        <v>28</v>
      </c>
      <c r="B29" s="8" t="str">
        <v>D.A. Peguero</v>
      </c>
      <c r="C29" s="8" t="str">
        <f>VLOOKUP(B29,contributions!B:H,4,FALSE)</f>
        <v>Eawag: Swiss Federal Institute of Aquatic Science and Technology</v>
      </c>
      <c r="D29" s="8" t="str">
        <f>VLOOKUP(B29,contributions!B:J,9,FALSE)</f>
        <v>https://orcid.org/0000-0001-9851-0882</v>
      </c>
    </row>
    <row r="30" spans="1:4" x14ac:dyDescent="0.35">
      <c r="A30" s="8">
        <v>29</v>
      </c>
      <c r="B30" s="8" t="str">
        <v>D.G.A.B. Oonincx</v>
      </c>
      <c r="C30" s="8" t="str">
        <f>VLOOKUP(B30,contributions!B:H,4,FALSE)</f>
        <v>Wageningen University</v>
      </c>
      <c r="D30" s="8" t="str">
        <f>VLOOKUP(B30,contributions!B:J,9,FALSE)</f>
        <v>https://orcid.org/0000-0002-6728-4859</v>
      </c>
    </row>
    <row r="31" spans="1:4" x14ac:dyDescent="0.35">
      <c r="A31" s="8">
        <v>30</v>
      </c>
      <c r="B31" s="8" t="str">
        <v>D.N. Cardoso</v>
      </c>
      <c r="C31" s="8" t="str">
        <f>VLOOKUP(B31,contributions!B:H,4,FALSE)</f>
        <v>University of Aveiro</v>
      </c>
      <c r="D31" s="8" t="str">
        <f>VLOOKUP(B31,contributions!B:J,9,FALSE)</f>
        <v>https://orcid.org/0000-0001-5754-0743</v>
      </c>
    </row>
    <row r="32" spans="1:4" x14ac:dyDescent="0.35">
      <c r="A32" s="8">
        <v>31</v>
      </c>
      <c r="B32" s="8" t="str">
        <v>E. Bessette</v>
      </c>
      <c r="C32" s="8" t="str">
        <f>VLOOKUP(B32,contributions!B:H,4,FALSE)</f>
        <v>University of Exeter</v>
      </c>
      <c r="D32" s="8" t="str">
        <f>VLOOKUP(B32,contributions!B:J,9,FALSE)</f>
        <v>https://orcid.org/0000-0001-7005-7182</v>
      </c>
    </row>
    <row r="33" spans="1:4" x14ac:dyDescent="0.35">
      <c r="A33" s="8">
        <v>32</v>
      </c>
      <c r="B33" s="8" t="str">
        <v>E. Dearlove</v>
      </c>
      <c r="C33" s="8" t="str">
        <f>VLOOKUP(B33,contributions!B:H,4,FALSE)</f>
        <v>UK Centre for Ecology and Hydrology</v>
      </c>
      <c r="D33" s="8" t="str">
        <f>VLOOKUP(B33,contributions!B:J,9,FALSE)</f>
        <v>https://orcid.org/0000-0002-5268-9554</v>
      </c>
    </row>
    <row r="34" spans="1:4" x14ac:dyDescent="0.35">
      <c r="A34" s="8">
        <v>33</v>
      </c>
      <c r="B34" s="8" t="str">
        <v>E. Sellem</v>
      </c>
      <c r="C34" s="8" t="str">
        <f>VLOOKUP(B34,contributions!B:H,4,FALSE)</f>
        <v>Ÿnsect</v>
      </c>
      <c r="D34" s="8" t="str">
        <f>VLOOKUP(B34,contributions!B:J,9,FALSE)</f>
        <v>https://orcid.org/0000-0001-9251-9077</v>
      </c>
    </row>
    <row r="35" spans="1:4" x14ac:dyDescent="0.35">
      <c r="A35" s="8">
        <v>34</v>
      </c>
      <c r="B35" s="8" t="str">
        <v>F. Manas</v>
      </c>
      <c r="C35" s="8" t="str">
        <f>VLOOKUP(B35,contributions!B:H,4,FALSE)</f>
        <v>University of Tours</v>
      </c>
      <c r="D35" s="8" t="str">
        <f>VLOOKUP(B35,contributions!B:J,9,FALSE)</f>
        <v>https://orcid.org/0009-0001-8321-9141</v>
      </c>
    </row>
    <row r="36" spans="1:4" x14ac:dyDescent="0.35">
      <c r="A36" s="8">
        <v>35</v>
      </c>
      <c r="B36" s="8" t="str">
        <v>F.S. Lim</v>
      </c>
      <c r="C36" s="8" t="str">
        <f>VLOOKUP(B36,contributions!B:H,4,FALSE)</f>
        <v>Universitat de València</v>
      </c>
      <c r="D36" s="8" t="str">
        <f>VLOOKUP(B36,contributions!B:J,9,FALSE)</f>
        <v>https://orcid.org/0000-0002-2650-7518</v>
      </c>
    </row>
    <row r="37" spans="1:4" x14ac:dyDescent="0.35">
      <c r="A37" s="8">
        <v>36</v>
      </c>
      <c r="B37" s="8" t="str">
        <v>G. Bosch</v>
      </c>
      <c r="C37" s="8" t="str">
        <f>VLOOKUP(B37,contributions!B:H,4,FALSE)</f>
        <v>Wageningen University</v>
      </c>
      <c r="D37" s="8" t="str">
        <f>VLOOKUP(B37,contributions!B:J,9,FALSE)</f>
        <v>https://orcid.org/0000-0002-5714-9506</v>
      </c>
    </row>
    <row r="38" spans="1:4" x14ac:dyDescent="0.35">
      <c r="A38" s="8">
        <v>37</v>
      </c>
      <c r="B38" s="8" t="str">
        <v>G. Rossi</v>
      </c>
      <c r="C38" s="8" t="str">
        <f>VLOOKUP(B38,contributions!B:H,4,FALSE)</f>
        <v>Leibnitz Institute for Agricultural Engineering and Bioeconomy (ATB)</v>
      </c>
      <c r="D38" s="8" t="str">
        <f>VLOOKUP(B38,contributions!B:J,9,FALSE)</f>
        <v>https://orcid.org/0000-0003-2994-1325</v>
      </c>
    </row>
    <row r="39" spans="1:4" x14ac:dyDescent="0.35">
      <c r="A39" s="8">
        <v>38</v>
      </c>
      <c r="B39" s="8" t="str">
        <v>G. Tettamanti</v>
      </c>
      <c r="C39" s="8" t="str">
        <f>VLOOKUP(B39,contributions!B:H,4,FALSE)</f>
        <v>University of Napoli Federico II</v>
      </c>
      <c r="D39" s="8" t="str">
        <f>VLOOKUP(B39,contributions!B:J,9,FALSE)</f>
        <v>https://orcid.org/0000-0002-0665-828X</v>
      </c>
    </row>
    <row r="40" spans="1:4" x14ac:dyDescent="0.35">
      <c r="A40" s="8">
        <v>39</v>
      </c>
      <c r="B40" s="8" t="str">
        <v>G. Verheyen</v>
      </c>
      <c r="C40" s="8" t="str">
        <f>VLOOKUP(B40,contributions!B:H,4,FALSE)</f>
        <v>Thomas More University of Applied Sciences</v>
      </c>
      <c r="D40" s="8" t="str">
        <f>VLOOKUP(B40,contributions!B:J,9,FALSE)</f>
        <v>https://orcid.org/0000-0001-9268-9228</v>
      </c>
    </row>
    <row r="41" spans="1:4" x14ac:dyDescent="0.35">
      <c r="A41" s="8">
        <v>40</v>
      </c>
      <c r="B41" s="8" t="str">
        <v>G.E.L. Petersen</v>
      </c>
      <c r="C41" s="8" t="str">
        <f>VLOOKUP(B41,contributions!B:H,4,FALSE)</f>
        <v>Laves Institute for Apiculture</v>
      </c>
      <c r="D41" s="8" t="str">
        <f>VLOOKUP(B41,contributions!B:J,9,FALSE)</f>
        <v>https://orcid.org/0000-0003-2956-0426</v>
      </c>
    </row>
    <row r="42" spans="1:4" x14ac:dyDescent="0.35">
      <c r="A42" s="8">
        <v>41</v>
      </c>
      <c r="B42" s="8" t="str">
        <v>H. Hesketh</v>
      </c>
      <c r="C42" s="8" t="str">
        <f>VLOOKUP(B42,contributions!B:H,4,FALSE)</f>
        <v>UK Centre for Ecology and Hydrology</v>
      </c>
      <c r="D42" s="8" t="str">
        <f>VLOOKUP(B42,contributions!B:J,9,FALSE)</f>
        <v>https://orcid.org/0000-0003-1794-7658</v>
      </c>
    </row>
    <row r="43" spans="1:4" x14ac:dyDescent="0.35">
      <c r="A43" s="8">
        <v>42</v>
      </c>
      <c r="B43" s="8" t="str">
        <v>H. Huditz</v>
      </c>
      <c r="C43" s="8" t="str">
        <f>VLOOKUP(B43,contributions!B:H,4,FALSE)</f>
        <v>Wageningen University</v>
      </c>
      <c r="D43" s="8" t="str">
        <f>VLOOKUP(B43,contributions!B:J,9,FALSE)</f>
        <v>https://orcid.org/0000-0002-4278-1197</v>
      </c>
    </row>
    <row r="44" spans="1:4" x14ac:dyDescent="0.35">
      <c r="A44" s="8">
        <v>43</v>
      </c>
      <c r="B44" s="8" t="str">
        <v>I. Biasato</v>
      </c>
      <c r="C44" s="8" t="str">
        <f>VLOOKUP(B44,contributions!B:H,4,FALSE)</f>
        <v>University of Turin</v>
      </c>
      <c r="D44" s="8" t="str">
        <f>VLOOKUP(B44,contributions!B:J,9,FALSE)</f>
        <v>https://orcid.org/0000-0002-8855-4248</v>
      </c>
    </row>
    <row r="45" spans="1:4" x14ac:dyDescent="0.35">
      <c r="A45" s="8">
        <v>44</v>
      </c>
      <c r="B45" s="8" t="str">
        <v>I.G. Lopes</v>
      </c>
      <c r="C45" s="8" t="str">
        <f>VLOOKUP(B45,contributions!B:H,4,FALSE)</f>
        <v>University of Agricultural Sciences</v>
      </c>
      <c r="D45" s="8" t="str">
        <f>VLOOKUP(B45,contributions!B:J,9,FALSE)</f>
        <v>https://orcid.org/0000-0003-0381-7537</v>
      </c>
    </row>
    <row r="46" spans="1:4" x14ac:dyDescent="0.35">
      <c r="A46" s="8">
        <v>45</v>
      </c>
      <c r="B46" s="8" t="str">
        <v>J. Claeys</v>
      </c>
      <c r="C46" s="8" t="str">
        <f>VLOOKUP(B46,contributions!B:H,4,FALSE)</f>
        <v>Inagro</v>
      </c>
      <c r="D46" s="8" t="str">
        <f>VLOOKUP(B46,contributions!B:J,9,FALSE)</f>
        <v>https://orcid.org/0000-0003-2167-7865</v>
      </c>
    </row>
    <row r="47" spans="1:4" x14ac:dyDescent="0.35">
      <c r="A47" s="8">
        <v>46</v>
      </c>
      <c r="B47" s="8" t="str">
        <v>J. De Smet</v>
      </c>
      <c r="C47" s="8" t="str">
        <f>VLOOKUP(B47,contributions!B:H,4,FALSE)</f>
        <v>KU Leuven</v>
      </c>
      <c r="D47" s="8" t="str">
        <f>VLOOKUP(B47,contributions!B:J,9,FALSE)</f>
        <v>https://orcid.org/0000-0002-7200-089X</v>
      </c>
    </row>
    <row r="48" spans="1:4" x14ac:dyDescent="0.35">
      <c r="A48" s="8">
        <v>47</v>
      </c>
      <c r="B48" s="8" t="str">
        <v>J. Obšteter</v>
      </c>
      <c r="C48" s="8" t="str">
        <f>VLOOKUP(B48,contributions!B:H,4,FALSE)</f>
        <v>Agricultural Institute of Slovenia</v>
      </c>
      <c r="D48" s="8" t="str">
        <f>VLOOKUP(B48,contributions!B:J,9,FALSE)</f>
        <v>https://orcid.org/0000-0003-1511-3916</v>
      </c>
    </row>
    <row r="49" spans="1:4" x14ac:dyDescent="0.35">
      <c r="A49" s="8">
        <v>48</v>
      </c>
      <c r="B49" s="8" t="str">
        <v>J. Pinto</v>
      </c>
      <c r="C49" s="8" t="str">
        <f>VLOOKUP(B49,contributions!B:H,4,FALSE)</f>
        <v>University of Aveiro</v>
      </c>
      <c r="D49" s="8" t="str">
        <f>VLOOKUP(B49,contributions!B:J,9,FALSE)</f>
        <v>https://orcid.org/0000-0002-4901-5399</v>
      </c>
    </row>
    <row r="50" spans="1:4" x14ac:dyDescent="0.35">
      <c r="A50" s="8">
        <v>49</v>
      </c>
      <c r="B50" s="8" t="str">
        <v>J. Takacs</v>
      </c>
      <c r="C50" s="8" t="str">
        <f>VLOOKUP(B50,contributions!B:H,4,FALSE)</f>
        <v>Wageningen University</v>
      </c>
      <c r="D50" s="8" t="str">
        <f>VLOOKUP(B50,contributions!B:J,9,FALSE)</f>
        <v>https://orcid.org/0000-0002-7564-7023</v>
      </c>
    </row>
    <row r="51" spans="1:4" x14ac:dyDescent="0.35">
      <c r="A51" s="8">
        <v>50</v>
      </c>
      <c r="B51" s="8" t="str">
        <v>J.B. Guillaume</v>
      </c>
      <c r="C51" s="8" t="str">
        <f>VLOOKUP(B51,contributions!B:H,4,FALSE)</f>
        <v>Agronutris</v>
      </c>
      <c r="D51" s="8" t="str">
        <f>VLOOKUP(B51,contributions!B:J,9,FALSE)</f>
        <v>https://orcid.org/0000-0003-3678-3855</v>
      </c>
    </row>
    <row r="52" spans="1:4" x14ac:dyDescent="0.35">
      <c r="A52" s="8">
        <v>51</v>
      </c>
      <c r="B52" s="8" t="str">
        <v>J.G. Sørensen</v>
      </c>
      <c r="C52" s="8" t="str">
        <f>VLOOKUP(B52,contributions!B:H,4,FALSE)</f>
        <v>Aarhus University</v>
      </c>
      <c r="D52" s="8" t="str">
        <f>VLOOKUP(B52,contributions!B:J,9,FALSE)</f>
        <v>https://orcid.org/0000-0002-9149-3626</v>
      </c>
    </row>
    <row r="53" spans="1:4" x14ac:dyDescent="0.35">
      <c r="A53" s="8">
        <v>52</v>
      </c>
      <c r="B53" s="8" t="str">
        <v>J.J. Jones</v>
      </c>
      <c r="C53" s="8" t="str">
        <f>VLOOKUP(B53,contributions!B:H,4,FALSE)</f>
        <v>Humboldt-Universität zu Berlin</v>
      </c>
      <c r="D53" s="8" t="str">
        <f>VLOOKUP(B53,contributions!B:J,9,FALSE)</f>
        <v>https://orcid.org/0000-0001-5652-408X</v>
      </c>
    </row>
    <row r="54" spans="1:4" x14ac:dyDescent="0.35">
      <c r="A54" s="8">
        <v>53</v>
      </c>
      <c r="B54" s="8" t="str">
        <v>J.J. Pascual</v>
      </c>
      <c r="C54" s="8" t="str">
        <f>VLOOKUP(B54,contributions!B:H,4,FALSE)</f>
        <v>Universitat Politècnica de València</v>
      </c>
      <c r="D54" s="8" t="str">
        <f>VLOOKUP(B54,contributions!B:J,9,FALSE)</f>
        <v>https://orcid.org/0000-0003-0737-5510</v>
      </c>
    </row>
    <row r="55" spans="1:4" x14ac:dyDescent="0.35">
      <c r="A55" s="8">
        <v>54</v>
      </c>
      <c r="B55" s="8" t="str">
        <v>J.K. Tomberlin</v>
      </c>
      <c r="C55" s="8" t="str">
        <f>VLOOKUP(B55,contributions!B:H,4,FALSE)</f>
        <v>Texas A&amp;M</v>
      </c>
      <c r="D55" s="8" t="str">
        <f>VLOOKUP(B55,contributions!B:J,9,FALSE)</f>
        <v>https://orcid.org/0000-0002-0560-4466</v>
      </c>
    </row>
    <row r="56" spans="1:4" x14ac:dyDescent="0.35">
      <c r="A56" s="8">
        <v>55</v>
      </c>
      <c r="B56" s="8" t="str">
        <v>J.K. Upfold</v>
      </c>
      <c r="C56" s="8" t="str">
        <f>VLOOKUP(B56,contributions!B:H,4,FALSE)</f>
        <v>University of Copenhagen</v>
      </c>
      <c r="D56" s="8" t="str">
        <f>VLOOKUP(B56,contributions!B:J,9,FALSE)</f>
        <v>https://orcid.org/0000-0002-8325-4262</v>
      </c>
    </row>
    <row r="57" spans="1:4" x14ac:dyDescent="0.35">
      <c r="A57" s="8">
        <v>56</v>
      </c>
      <c r="B57" s="8" t="str">
        <v>J.M. Petersen</v>
      </c>
      <c r="C57" s="8" t="str">
        <f>VLOOKUP(B57,contributions!B:H,4,FALSE)</f>
        <v>Wageningen University</v>
      </c>
      <c r="D57" s="8" t="str">
        <f>VLOOKUP(B57,contributions!B:J,9,FALSE)</f>
        <v>https://orcid.org/0000-0002-2190-1401</v>
      </c>
    </row>
    <row r="58" spans="1:4" x14ac:dyDescent="0.35">
      <c r="A58" s="8">
        <v>57</v>
      </c>
      <c r="B58" s="8" t="str">
        <v>J.N. Pinto</v>
      </c>
      <c r="C58" s="8" t="str">
        <f>VLOOKUP(B58,contributions!B:H,4,FALSE)</f>
        <v>University of Aveiro</v>
      </c>
      <c r="D58" s="8" t="str">
        <f>VLOOKUP(B58,contributions!B:J,9,FALSE)</f>
        <v>https://orcid.org/0000-0002-4901-5399</v>
      </c>
    </row>
    <row r="59" spans="1:4" x14ac:dyDescent="0.35">
      <c r="A59" s="8">
        <v>58</v>
      </c>
      <c r="B59" s="8" t="str">
        <v>K. Paul</v>
      </c>
      <c r="C59" s="8" t="str">
        <f>VLOOKUP(B59,contributions!B:H,4,FALSE)</f>
        <v>Ÿnsect</v>
      </c>
      <c r="D59" s="8" t="str">
        <f>VLOOKUP(B59,contributions!B:J,9,FALSE)</f>
        <v>https://orcid.org/0000-0002-3228-3063</v>
      </c>
    </row>
    <row r="60" spans="1:4" x14ac:dyDescent="0.35">
      <c r="A60" s="8">
        <v>59</v>
      </c>
      <c r="B60" s="8" t="str">
        <v>L. Auger</v>
      </c>
      <c r="C60" s="8" t="str">
        <f>VLOOKUP(B60,contributions!B:H,4,FALSE)</f>
        <v>Université Laval</v>
      </c>
      <c r="D60" s="8" t="str">
        <f>VLOOKUP(B60,contributions!B:J,9,FALSE)</f>
        <v>https://orcid.org/0009-0002-7212-5964</v>
      </c>
    </row>
    <row r="61" spans="1:4" x14ac:dyDescent="0.35">
      <c r="A61" s="8">
        <v>60</v>
      </c>
      <c r="B61" s="8" t="str">
        <v>L. Gasco</v>
      </c>
      <c r="C61" s="8" t="str">
        <f>VLOOKUP(B61,contributions!B:H,4,FALSE)</f>
        <v>University of Turin</v>
      </c>
      <c r="D61" s="8" t="str">
        <f>VLOOKUP(B61,contributions!B:J,9,FALSE)</f>
        <v>https://orcid.org/0000-0002-1829-7936</v>
      </c>
    </row>
    <row r="62" spans="1:4" x14ac:dyDescent="0.35">
      <c r="A62" s="8">
        <v>61</v>
      </c>
      <c r="B62" s="8" t="str">
        <v>L. Hernández Pelegrı́n</v>
      </c>
      <c r="C62" s="8" t="str">
        <f>VLOOKUP(B62,contributions!B:H,4,FALSE)</f>
        <v>Wageningen University</v>
      </c>
      <c r="D62" s="8" t="str">
        <f>VLOOKUP(B62,contributions!B:J,9,FALSE)</f>
        <v>https://orcid.org/0000-0003-4910-4583</v>
      </c>
    </row>
    <row r="63" spans="1:4" x14ac:dyDescent="0.35">
      <c r="A63" s="8">
        <v>62</v>
      </c>
      <c r="B63" s="8" t="str">
        <v>L. Mugo-Kamiri</v>
      </c>
      <c r="C63" s="8" t="str">
        <f>VLOOKUP(B63,contributions!B:H,4,FALSE)</f>
        <v>University of Tours</v>
      </c>
      <c r="D63" s="8" t="str">
        <f>VLOOKUP(B63,contributions!B:J,9,FALSE)</f>
        <v>https://orcid.org/0009-0008-6553-8457</v>
      </c>
    </row>
    <row r="64" spans="1:4" x14ac:dyDescent="0.35">
      <c r="A64" s="8">
        <v>63</v>
      </c>
      <c r="B64" s="8" t="str">
        <v>L. Rastello</v>
      </c>
      <c r="C64" s="8" t="str">
        <f>VLOOKUP(B64,contributions!B:H,4,FALSE)</f>
        <v>University of Turin</v>
      </c>
      <c r="D64" s="8" t="str">
        <f>VLOOKUP(B64,contributions!B:J,9,FALSE)</f>
        <v>https://orcid.org/0000-0001-5185-2797</v>
      </c>
    </row>
    <row r="65" spans="1:4" x14ac:dyDescent="0.35">
      <c r="A65" s="8">
        <v>64</v>
      </c>
      <c r="B65" s="8" t="str">
        <v>L. Rossi Ribeiro</v>
      </c>
      <c r="C65" s="8" t="str">
        <f>VLOOKUP(B65,contributions!B:H,4,FALSE)</f>
        <v>Leibnitz Institute for Agricultural Engineering and Bioeconomy (ATB)</v>
      </c>
      <c r="D65" s="8" t="str">
        <f>VLOOKUP(B65,contributions!B:J,9,FALSE)</f>
        <v>https://orcid.org/0000-0002-6305-9654</v>
      </c>
    </row>
    <row r="66" spans="1:4" x14ac:dyDescent="0.35">
      <c r="A66" s="8">
        <v>65</v>
      </c>
      <c r="B66" s="8" t="str">
        <v>L.S. Hansen</v>
      </c>
      <c r="C66" s="8" t="str">
        <f>VLOOKUP(B66,contributions!B:H,4,FALSE)</f>
        <v>Aarhus University</v>
      </c>
      <c r="D66" s="8" t="str">
        <f>VLOOKUP(B66,contributions!B:J,9,FALSE)</f>
        <v>https://orcid.org/0000-0002-4270-6365</v>
      </c>
    </row>
    <row r="67" spans="1:4" x14ac:dyDescent="0.35">
      <c r="A67" s="8">
        <v>66</v>
      </c>
      <c r="B67" s="8" t="str">
        <v>L.W. Beukeboom</v>
      </c>
      <c r="C67" s="8" t="str">
        <f>VLOOKUP(B67,contributions!B:H,4,FALSE)</f>
        <v>University of Groningen</v>
      </c>
      <c r="D67" s="8" t="str">
        <f>VLOOKUP(B67,contributions!B:J,9,FALSE)</f>
        <v>https://orcid.org/0000-0001-9838-9314</v>
      </c>
    </row>
    <row r="68" spans="1:4" x14ac:dyDescent="0.35">
      <c r="A68" s="8">
        <v>67</v>
      </c>
      <c r="B68" s="8" t="str">
        <v>M. Bitterlich</v>
      </c>
      <c r="C68" s="8" t="str">
        <f>VLOOKUP(B68,contributions!B:H,4,FALSE)</f>
        <v>Humboldt-Universität zu Berlin</v>
      </c>
      <c r="D68" s="8" t="str">
        <f>VLOOKUP(B68,contributions!B:J,9,FALSE)</f>
        <v>https://orcid.org/0000-0002-3562-7327</v>
      </c>
    </row>
    <row r="69" spans="1:4" x14ac:dyDescent="0.35">
      <c r="A69" s="8">
        <v>68</v>
      </c>
      <c r="B69" s="8" t="str">
        <v>M. Bonelli</v>
      </c>
      <c r="C69" s="8" t="str">
        <f>VLOOKUP(B69,contributions!B:H,4,FALSE)</f>
        <v>University of Milan</v>
      </c>
      <c r="D69" s="8" t="str">
        <f>VLOOKUP(B69,contributions!B:J,9,FALSE)</f>
        <v>https://orcid.org/0000-0003-2853-6598</v>
      </c>
    </row>
    <row r="70" spans="1:4" x14ac:dyDescent="0.35">
      <c r="A70" s="8">
        <v>69</v>
      </c>
      <c r="B70" s="8" t="str">
        <v>M. Cambra-López</v>
      </c>
      <c r="C70" s="8" t="str">
        <f>VLOOKUP(B70,contributions!B:H,4,FALSE)</f>
        <v>Universitat Politècnica de València</v>
      </c>
      <c r="D70" s="8" t="str">
        <f>VLOOKUP(B70,contributions!B:J,9,FALSE)</f>
        <v>https://orcid.org/0000-0001-6130-9392</v>
      </c>
    </row>
    <row r="71" spans="1:4" x14ac:dyDescent="0.35">
      <c r="A71" s="8">
        <v>70</v>
      </c>
      <c r="B71" s="8" t="str">
        <v>M. Casartelli</v>
      </c>
      <c r="C71" s="8" t="str">
        <f>VLOOKUP(B71,contributions!B:H,4,FALSE)</f>
        <v>University of Napoli Federico II</v>
      </c>
      <c r="D71" s="8" t="str">
        <f>VLOOKUP(B71,contributions!B:J,9,FALSE)</f>
        <v>https://orcid.org/0000-0002-1413-7660</v>
      </c>
    </row>
    <row r="72" spans="1:4" x14ac:dyDescent="0.35">
      <c r="A72" s="8">
        <v>71</v>
      </c>
      <c r="B72" s="8" t="str">
        <v>M. Gold</v>
      </c>
      <c r="C72" s="8" t="str">
        <f>VLOOKUP(B72,contributions!B:H,4,FALSE)</f>
        <v>ETH Zurich</v>
      </c>
      <c r="D72" s="8" t="str">
        <f>VLOOKUP(B72,contributions!B:J,9,FALSE)</f>
        <v>https://orcid.org/0000-0001-7285-6164</v>
      </c>
    </row>
    <row r="73" spans="1:4" x14ac:dyDescent="0.35">
      <c r="A73" s="8">
        <v>72</v>
      </c>
      <c r="B73" s="8" t="str">
        <v>M. Gómez-Brandón</v>
      </c>
      <c r="C73" s="8" t="str">
        <f>VLOOKUP(B73,contributions!B:H,4,FALSE)</f>
        <v>Vigo University</v>
      </c>
      <c r="D73" s="8" t="str">
        <f>VLOOKUP(B73,contributions!B:J,9,FALSE)</f>
        <v>https://orcid.org/0000-0003-4744-535X</v>
      </c>
    </row>
    <row r="74" spans="1:4" x14ac:dyDescent="0.35">
      <c r="A74" s="8">
        <v>73</v>
      </c>
      <c r="B74" s="8" t="str">
        <v>M. Lloyd</v>
      </c>
      <c r="C74" s="8" t="str">
        <f>VLOOKUP(B74,contributions!B:H,4,FALSE)</f>
        <v>Wageningen University</v>
      </c>
      <c r="D74" s="8" t="str">
        <f>VLOOKUP(B74,contributions!B:J,9,FALSE)</f>
        <v>https://orcid.org/0009-0000-8153-8029</v>
      </c>
    </row>
    <row r="75" spans="1:4" x14ac:dyDescent="0.35">
      <c r="A75" s="8">
        <v>74</v>
      </c>
      <c r="B75" s="8" t="str">
        <v>M. Marzari</v>
      </c>
      <c r="C75" s="8" t="str">
        <f>VLOOKUP(B75,contributions!B:H,4,FALSE)</f>
        <v>University of Insubria</v>
      </c>
      <c r="D75" s="8" t="str">
        <f>VLOOKUP(B75,contributions!B:J,9,FALSE)</f>
        <v>https://orcid.org/0009-0000-6148-8765</v>
      </c>
    </row>
    <row r="76" spans="1:4" x14ac:dyDescent="0.35">
      <c r="A76" s="8">
        <v>75</v>
      </c>
      <c r="B76" s="8" t="str">
        <v>M. Prodana</v>
      </c>
      <c r="C76" s="8" t="str">
        <f>VLOOKUP(B76,contributions!B:H,4,FALSE)</f>
        <v>University of Aveiro</v>
      </c>
      <c r="D76" s="8" t="str">
        <f>VLOOKUP(B76,contributions!B:J,9,FALSE)</f>
        <v>https://orcid.org/0000-0002-7747-4699</v>
      </c>
    </row>
    <row r="77" spans="1:4" x14ac:dyDescent="0.35">
      <c r="A77" s="8">
        <v>76</v>
      </c>
      <c r="B77" s="8" t="str">
        <v>M. Rebora</v>
      </c>
      <c r="C77" s="8" t="str">
        <f>VLOOKUP(B77,contributions!B:H,4,FALSE)</f>
        <v>University of Perugia</v>
      </c>
      <c r="D77" s="8" t="str">
        <f>VLOOKUP(B77,contributions!B:J,9,FALSE)</f>
        <v>https://orcid.org/0000-0002-4271-6336</v>
      </c>
    </row>
    <row r="78" spans="1:4" x14ac:dyDescent="0.35">
      <c r="A78" s="8">
        <v>77</v>
      </c>
      <c r="B78" s="8" t="str">
        <v>M. Renna</v>
      </c>
      <c r="C78" s="8" t="str">
        <f>VLOOKUP(B78,contributions!B:H,4,FALSE)</f>
        <v>University of Turin</v>
      </c>
      <c r="D78" s="8" t="str">
        <f>VLOOKUP(B78,contributions!B:J,9,FALSE)</f>
        <v>https://orcid.org/0000-0003-4296-7589</v>
      </c>
    </row>
    <row r="79" spans="1:4" x14ac:dyDescent="0.35">
      <c r="A79" s="8">
        <v>78</v>
      </c>
      <c r="B79" s="8" t="str">
        <v>M. Tapio</v>
      </c>
      <c r="C79" s="8" t="str">
        <f>VLOOKUP(B79,contributions!B:H,4,FALSE)</f>
        <v>Natural Resources Institute Finland (LUKE)</v>
      </c>
      <c r="D79" s="8" t="str">
        <f>VLOOKUP(B79,contributions!B:J,9,FALSE)</f>
        <v>https://orcid.org/0000-0002-1859-8376</v>
      </c>
    </row>
    <row r="80" spans="1:4" x14ac:dyDescent="0.35">
      <c r="A80" s="8">
        <v>79</v>
      </c>
      <c r="B80" s="8" t="str">
        <v>M. Van Der Borght</v>
      </c>
      <c r="C80" s="8" t="str">
        <f>VLOOKUP(B80,contributions!B:H,4,FALSE)</f>
        <v>KU Leuven</v>
      </c>
      <c r="D80" s="8" t="str">
        <f>VLOOKUP(B80,contributions!B:J,9,FALSE)</f>
        <v>https://orcid.org/0000-0001-9091-2983</v>
      </c>
    </row>
    <row r="81" spans="1:4" x14ac:dyDescent="0.35">
      <c r="A81" s="8">
        <v>80</v>
      </c>
      <c r="B81" s="8" t="str">
        <v>M. Van Peer</v>
      </c>
      <c r="C81" s="8" t="str">
        <f>VLOOKUP(B81,contributions!B:H,4,FALSE)</f>
        <v>Thomas More University of Applied Sciences</v>
      </c>
      <c r="D81" s="8" t="str">
        <f>VLOOKUP(B81,contributions!B:J,9,FALSE)</f>
        <v>https://orcid.org/0000-0002-0256-928X</v>
      </c>
    </row>
    <row r="82" spans="1:4" x14ac:dyDescent="0.35">
      <c r="A82" s="8">
        <v>81</v>
      </c>
      <c r="B82" s="8" t="str">
        <v>M.B. Smith</v>
      </c>
      <c r="C82" s="8" t="str">
        <f>VLOOKUP(B82,contributions!B:H,4,FALSE)</f>
        <v>Indiana University-Indianapolis</v>
      </c>
      <c r="D82" s="8" t="str">
        <f>VLOOKUP(B82,contributions!B:J,9,FALSE)</f>
        <v>https://orcid.org/0009-0002-6853-9224</v>
      </c>
    </row>
    <row r="83" spans="1:4" x14ac:dyDescent="0.35">
      <c r="A83" s="8">
        <v>82</v>
      </c>
      <c r="B83" s="8" t="str">
        <v>M.C. Valoroso</v>
      </c>
      <c r="C83" s="8" t="str">
        <f>VLOOKUP(B83,contributions!B:H,4,FALSE)</f>
        <v>University of Milan</v>
      </c>
      <c r="D83" s="8" t="str">
        <f>VLOOKUP(B83,contributions!B:J,9,FALSE)</f>
        <v>https://orcid.org/0000-0002-4210-7098</v>
      </c>
    </row>
    <row r="84" spans="1:4" x14ac:dyDescent="0.35">
      <c r="A84" s="8">
        <v>83</v>
      </c>
      <c r="B84" s="8" t="str">
        <v>N. Herman</v>
      </c>
      <c r="C84" s="8" t="str">
        <f>VLOOKUP(B84,contributions!B:H,4,FALSE)</f>
        <v>Tel-Hai Academic College</v>
      </c>
      <c r="D84" s="8" t="str">
        <f>VLOOKUP(B84,contributions!B:J,9,FALSE)</f>
        <v>https://orcid.org/0000-0003-3990-5731</v>
      </c>
    </row>
    <row r="85" spans="1:4" x14ac:dyDescent="0.35">
      <c r="A85" s="8">
        <v>84</v>
      </c>
      <c r="B85" s="8" t="str">
        <v>N. Lemke</v>
      </c>
      <c r="C85" s="8" t="str">
        <f>VLOOKUP(B85,contributions!B:H,4,FALSE)</f>
        <v>Texas A&amp;M</v>
      </c>
      <c r="D85" s="8" t="str">
        <f>VLOOKUP(B85,contributions!B:J,9,FALSE)</f>
        <v>https://orcid.org/0000-0003-2248-7609</v>
      </c>
    </row>
    <row r="86" spans="1:4" x14ac:dyDescent="0.35">
      <c r="A86" s="8">
        <v>85</v>
      </c>
      <c r="B86" s="8" t="str">
        <v>N. Praeg</v>
      </c>
      <c r="C86" s="8" t="str">
        <f>VLOOKUP(B86,contributions!B:H,4,FALSE)</f>
        <v>Universität Innsbruck</v>
      </c>
      <c r="D86" s="8" t="str">
        <f>VLOOKUP(B86,contributions!B:J,9,FALSE)</f>
        <v>https://orcid.org/0000-0002-1531-8543</v>
      </c>
    </row>
    <row r="87" spans="1:4" x14ac:dyDescent="0.35">
      <c r="A87" s="8">
        <v>86</v>
      </c>
      <c r="B87" s="8" t="str">
        <v>N.A. Sibinga</v>
      </c>
      <c r="C87" s="8" t="str">
        <f>VLOOKUP(B87,contributions!B:H,4,FALSE)</f>
        <v>KU Leuven</v>
      </c>
      <c r="D87" s="8" t="str">
        <f>VLOOKUP(B87,contributions!B:J,9,FALSE)</f>
        <v>https://orcid.org/0000-0002-0701-5526</v>
      </c>
    </row>
    <row r="88" spans="1:4" x14ac:dyDescent="0.35">
      <c r="A88" s="8">
        <v>87</v>
      </c>
      <c r="B88" s="8" t="str">
        <v>O.K. Schlüter</v>
      </c>
      <c r="C88" s="8" t="str">
        <f>VLOOKUP(B88,contributions!B:H,4,FALSE)</f>
        <v>Leibnitz Institute for Agricultural Engineering and Bioeconomy (ATB)</v>
      </c>
      <c r="D88" s="8" t="str">
        <f>VLOOKUP(B88,contributions!B:J,9,FALSE)</f>
        <v>https://orcid.org/0000-0002-6806-9886</v>
      </c>
    </row>
    <row r="89" spans="1:4" x14ac:dyDescent="0.35">
      <c r="A89" s="8">
        <v>88</v>
      </c>
      <c r="B89" s="8" t="str">
        <v>P. Herren</v>
      </c>
      <c r="C89" s="8" t="str">
        <f>VLOOKUP(B89,contributions!B:H,4,FALSE)</f>
        <v>UK Centre for Ecology and Hydrology</v>
      </c>
      <c r="D89" s="8" t="str">
        <f>VLOOKUP(B89,contributions!B:J,9,FALSE)</f>
        <v>https://orcid.org/0000-0002-8358-9636</v>
      </c>
    </row>
    <row r="90" spans="1:4" x14ac:dyDescent="0.35">
      <c r="A90" s="8">
        <v>89</v>
      </c>
      <c r="B90" s="8" t="str">
        <v>P. Librado</v>
      </c>
      <c r="C90" s="8" t="str">
        <f>VLOOKUP(B90,contributions!B:H,4,FALSE)</f>
        <v>Universitat Pompeu Fabra</v>
      </c>
      <c r="D90" s="8" t="str">
        <f>VLOOKUP(B90,contributions!B:J,9,FALSE)</f>
        <v>https://orcid.org/0000-0001-5974-2189</v>
      </c>
    </row>
    <row r="91" spans="1:4" x14ac:dyDescent="0.35">
      <c r="A91" s="8">
        <v>90</v>
      </c>
      <c r="B91" s="8" t="str">
        <v>P. Yadav</v>
      </c>
      <c r="C91" s="8" t="str">
        <f>VLOOKUP(B91,contributions!B:H,4,FALSE)</f>
        <v>-</v>
      </c>
      <c r="D91" s="8" t="str">
        <f>VLOOKUP(B91,contributions!B:J,9,FALSE)</f>
        <v>https://orcid.org/0000-0003-1884-8627</v>
      </c>
    </row>
    <row r="92" spans="1:4" x14ac:dyDescent="0.35">
      <c r="A92" s="8">
        <v>91</v>
      </c>
      <c r="B92" s="8" t="str">
        <v>R. Smets</v>
      </c>
      <c r="C92" s="8" t="str">
        <f>VLOOKUP(B92,contributions!B:H,4,FALSE)</f>
        <v>KU Leuven</v>
      </c>
      <c r="D92" s="8" t="str">
        <f>VLOOKUP(B92,contributions!B:J,9,FALSE)</f>
        <v>https://orcid.org/0000-0001-7068-4514</v>
      </c>
    </row>
    <row r="93" spans="1:4" x14ac:dyDescent="0.35">
      <c r="A93" s="8">
        <v>92</v>
      </c>
      <c r="B93" s="8" t="str">
        <v>R. Zanoli</v>
      </c>
      <c r="C93" s="8" t="str">
        <f>VLOOKUP(B93,contributions!B:H,4,FALSE)</f>
        <v>Polytechnic University of Marche</v>
      </c>
      <c r="D93" s="8" t="str">
        <f>VLOOKUP(B93,contributions!B:J,9,FALSE)</f>
        <v>https://orcid.org/0000-0002-7108-397X</v>
      </c>
    </row>
    <row r="94" spans="1:4" x14ac:dyDescent="0.35">
      <c r="A94" s="8">
        <v>93</v>
      </c>
      <c r="B94" s="8" t="str">
        <v>R.D. Pienaar</v>
      </c>
      <c r="C94" s="8" t="str">
        <f>VLOOKUP(B94,contributions!B:H,4,FALSE)</f>
        <v>Universitat de València</v>
      </c>
      <c r="D94" s="8" t="str">
        <f>VLOOKUP(B94,contributions!B:J,9,FALSE)</f>
        <v>https://orcid.org/0000-0002-8797-9420</v>
      </c>
    </row>
    <row r="95" spans="1:4" x14ac:dyDescent="0.35">
      <c r="A95" s="8">
        <v>94</v>
      </c>
      <c r="B95" s="8" t="str">
        <v>R.G. Morgado</v>
      </c>
      <c r="C95" s="8" t="str">
        <f>VLOOKUP(B95,contributions!B:H,4,FALSE)</f>
        <v>University of Aveiro</v>
      </c>
      <c r="D95" s="8" t="str">
        <f>VLOOKUP(B95,contributions!B:J,9,FALSE)</f>
        <v>https://orcid.org/0000-0001-6772-3762</v>
      </c>
    </row>
    <row r="96" spans="1:4" x14ac:dyDescent="0.35">
      <c r="A96" s="8">
        <v>95</v>
      </c>
      <c r="B96" s="8" t="str">
        <v>S. Bellezza Oddon</v>
      </c>
      <c r="C96" s="8" t="str">
        <f>VLOOKUP(B96,contributions!B:H,4,FALSE)</f>
        <v>University of Turin</v>
      </c>
      <c r="D96" s="8" t="str">
        <f>VLOOKUP(B96,contributions!B:J,9,FALSE)</f>
        <v>https://orcid.org/0000-0001-8942-0682</v>
      </c>
    </row>
    <row r="97" spans="1:4" x14ac:dyDescent="0.35">
      <c r="A97" s="8">
        <v>96</v>
      </c>
      <c r="B97" s="8" t="str">
        <v>S. Caccia</v>
      </c>
      <c r="C97" s="8" t="str">
        <f>VLOOKUP(B97,contributions!B:H,4,FALSE)</f>
        <v>University of Milan</v>
      </c>
      <c r="D97" s="8" t="str">
        <f>VLOOKUP(B97,contributions!B:J,9,FALSE)</f>
        <v>https://orcid.org/0000-0003-1954-7180</v>
      </c>
    </row>
    <row r="98" spans="1:4" x14ac:dyDescent="0.35">
      <c r="A98" s="8">
        <v>97</v>
      </c>
      <c r="B98" s="8" t="str">
        <v>S. Edwards</v>
      </c>
      <c r="C98" s="8" t="str">
        <f>VLOOKUP(B98,contributions!B:H,4,FALSE)</f>
        <v>University of Exeter</v>
      </c>
      <c r="D98" s="8" t="str">
        <f>VLOOKUP(B98,contributions!B:J,9,FALSE)</f>
        <v>https://orcid.org/0000-0002-2796-8527</v>
      </c>
    </row>
    <row r="99" spans="1:4" x14ac:dyDescent="0.35">
      <c r="A99" s="8">
        <v>98</v>
      </c>
      <c r="B99" s="8" t="str">
        <v>S. Loureiro</v>
      </c>
      <c r="C99" s="8" t="str">
        <f>VLOOKUP(B99,contributions!B:H,4,FALSE)</f>
        <v>University of Aveiro</v>
      </c>
      <c r="D99" s="8" t="str">
        <f>VLOOKUP(B99,contributions!B:J,9,FALSE)</f>
        <v>https://orcid.org/0000-0002-5393-9623</v>
      </c>
    </row>
    <row r="100" spans="1:4" x14ac:dyDescent="0.35">
      <c r="A100" s="8">
        <v>99</v>
      </c>
      <c r="B100" s="8" t="str">
        <v>S. Naser El Deen</v>
      </c>
      <c r="C100" s="8" t="str">
        <f>VLOOKUP(B100,contributions!B:H,4,FALSE)</f>
        <v>Wageningen University</v>
      </c>
      <c r="D100" s="8" t="str">
        <f>VLOOKUP(B100,contributions!B:J,9,FALSE)</f>
        <v>https://orcid.org/0000-0002-5892-7699</v>
      </c>
    </row>
    <row r="101" spans="1:4" x14ac:dyDescent="0.35">
      <c r="A101" s="8">
        <v>100</v>
      </c>
      <c r="B101" s="8" t="str">
        <v>S. Ojha</v>
      </c>
      <c r="C101" s="8" t="str">
        <f>VLOOKUP(B101,contributions!B:H,4,FALSE)</f>
        <v>South East Technological University</v>
      </c>
      <c r="D101" s="8" t="str">
        <f>VLOOKUP(B101,contributions!B:J,9,FALSE)</f>
        <v>https://orcid.org/0000-0003-2057-2287</v>
      </c>
    </row>
    <row r="102" spans="1:4" x14ac:dyDescent="0.35">
      <c r="A102" s="8">
        <v>101</v>
      </c>
      <c r="B102" s="8" t="str">
        <v>S. Smetana</v>
      </c>
      <c r="C102" s="8" t="str">
        <f>VLOOKUP(B102,contributions!B:H,4,FALSE)</f>
        <v>DIL e.V.</v>
      </c>
      <c r="D102" s="8" t="str">
        <f>VLOOKUP(B102,contributions!B:J,9,FALSE)</f>
        <v>https://orcid.org/0000-0002-5471-0521</v>
      </c>
    </row>
    <row r="103" spans="1:4" x14ac:dyDescent="0.35">
      <c r="A103" s="8">
        <v>102</v>
      </c>
      <c r="B103" s="8" t="str">
        <v>T. Klammsteiner</v>
      </c>
      <c r="C103" s="8" t="str">
        <f>VLOOKUP(B103,contributions!B:H,4,FALSE)</f>
        <v>Universität Innsbruck</v>
      </c>
      <c r="D103" s="8" t="str">
        <f>VLOOKUP(B103,contributions!B:J,9,FALSE)</f>
        <v>https://orcid.org/0000-0003-1280-5159</v>
      </c>
    </row>
    <row r="104" spans="1:4" x14ac:dyDescent="0.35">
      <c r="A104" s="8">
        <v>103</v>
      </c>
      <c r="B104" s="8" t="str">
        <v>T. Lefebvre</v>
      </c>
      <c r="C104" s="8" t="str">
        <f>VLOOKUP(B104,contributions!B:H,4,FALSE)</f>
        <v>Ÿnsect</v>
      </c>
      <c r="D104" s="8" t="str">
        <f>VLOOKUP(B104,contributions!B:J,9,FALSE)</f>
        <v>https://orcid.org/0000-0001-9167-1536</v>
      </c>
    </row>
    <row r="105" spans="1:4" x14ac:dyDescent="0.35">
      <c r="A105" s="8">
        <v>104</v>
      </c>
      <c r="B105" s="8" t="str">
        <v>T. Spranghers</v>
      </c>
      <c r="C105" s="8" t="str">
        <f>VLOOKUP(B105,contributions!B:H,4,FALSE)</f>
        <v>VIVES University of Applied Sciences</v>
      </c>
      <c r="D105" s="8" t="str">
        <f>VLOOKUP(B105,contributions!B:J,9,FALSE)</f>
        <v>https://orcid.org/0000-0002-6789-3531</v>
      </c>
    </row>
    <row r="106" spans="1:4" x14ac:dyDescent="0.35">
      <c r="A106" s="8">
        <v>105</v>
      </c>
      <c r="B106" s="8" t="str">
        <v>T. Veldkamp</v>
      </c>
      <c r="C106" s="8" t="str">
        <f>VLOOKUP(B106,contributions!B:H,4,FALSE)</f>
        <v>Wageningen University</v>
      </c>
      <c r="D106" s="8" t="str">
        <f>VLOOKUP(B106,contributions!B:J,9,FALSE)</f>
        <v>https://orcid.org/0000-0001-6880-9680</v>
      </c>
    </row>
    <row r="107" spans="1:4" x14ac:dyDescent="0.35">
      <c r="A107" s="8">
        <v>106</v>
      </c>
      <c r="B107" s="8" t="str">
        <v>T.N. Generalovic</v>
      </c>
      <c r="C107" s="8" t="str">
        <f>VLOOKUP(B107,contributions!B:H,4,FALSE)</f>
        <v>University of Cambridge</v>
      </c>
      <c r="D107" s="8" t="str">
        <f>VLOOKUP(B107,contributions!B:J,9,FALSE)</f>
        <v>https://orcid.org/0000-0002-8983-1024</v>
      </c>
    </row>
    <row r="108" spans="1:4" x14ac:dyDescent="0.35">
      <c r="A108" s="8">
        <v>107</v>
      </c>
      <c r="B108" s="8" t="str">
        <v>V. Bongiorno</v>
      </c>
      <c r="C108" s="8" t="str">
        <f>VLOOKUP(B108,contributions!B:H,4,FALSE)</f>
        <v>Michigan State University</v>
      </c>
      <c r="D108" s="8" t="str">
        <f>VLOOKUP(B108,contributions!B:J,9,FALSE)</f>
        <v>https://orcid.org/0000-0003-1308-3979</v>
      </c>
    </row>
    <row r="109" spans="1:4" x14ac:dyDescent="0.35">
      <c r="A109" s="8">
        <v>108</v>
      </c>
      <c r="B109" s="8" t="str">
        <v>V. Wiklicky</v>
      </c>
      <c r="C109" s="8" t="str">
        <f>VLOOKUP(B109,contributions!B:H,4,FALSE)</f>
        <v>University of Agricultural Sciences</v>
      </c>
      <c r="D109" s="8" t="str">
        <f>VLOOKUP(B109,contributions!B:J,9,FALSE)</f>
        <v>https://orcid.org/0009-0007-3982-9544</v>
      </c>
    </row>
    <row r="110" spans="1:4" x14ac:dyDescent="0.35">
      <c r="A110" s="8">
        <v>109</v>
      </c>
      <c r="B110" s="8" t="str">
        <v>W. Yakti</v>
      </c>
      <c r="C110" s="8" t="str">
        <f>VLOOKUP(B110,contributions!B:H,4,FALSE)</f>
        <v>Humboldt-Universität zu Berlin</v>
      </c>
      <c r="D110" s="8" t="str">
        <f>VLOOKUP(B110,contributions!B:J,9,FALSE)</f>
        <v>https://orcid.org/0000-0003-2579-5586</v>
      </c>
    </row>
  </sheetData>
  <autoFilter ref="A1:D1" xr:uid="{CF8CA36E-44A3-4C9A-91E1-BCF2F01F0DD5}"/>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chapters</vt:lpstr>
      <vt:lpstr>contributions</vt:lpstr>
      <vt:lpstr>unique_authors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Klammsteiner</dc:creator>
  <cp:lastModifiedBy>Thomas Klammsteiner</cp:lastModifiedBy>
  <dcterms:created xsi:type="dcterms:W3CDTF">2015-06-05T18:19:34Z</dcterms:created>
  <dcterms:modified xsi:type="dcterms:W3CDTF">2025-11-10T10:12:04Z</dcterms:modified>
</cp:coreProperties>
</file>